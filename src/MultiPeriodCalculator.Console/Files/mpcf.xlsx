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workspace\repos\PensionTools\src\MultiPeriodCalculator.Console\Files\"/>
    </mc:Choice>
  </mc:AlternateContent>
  <xr:revisionPtr revIDLastSave="0" documentId="13_ncr:1_{C38FEFD1-0E81-4129-86FA-23348CADB0D4}" xr6:coauthVersionLast="47" xr6:coauthVersionMax="47" xr10:uidLastSave="{00000000-0000-0000-0000-000000000000}"/>
  <bookViews>
    <workbookView xWindow="20520" yWindow="1095" windowWidth="30630" windowHeight="19200" tabRatio="598" activeTab="7" xr2:uid="{00000000-000D-0000-FFFF-FFFF00000000}"/>
  </bookViews>
  <sheets>
    <sheet name="Person" sheetId="4" r:id="rId1"/>
    <sheet name="Steuergemeinde" sheetId="5" r:id="rId2"/>
    <sheet name="Parameter" sheetId="6" r:id="rId3"/>
    <sheet name="Kontoverzeichnis" sheetId="1" r:id="rId4"/>
    <sheet name="Fixbetrag Trx" sheetId="2" r:id="rId5"/>
    <sheet name="Transfer Trx" sheetId="3" r:id="rId6"/>
    <sheet name="Wachstum Trx" sheetId="7" r:id="rId7"/>
    <sheet name="Steuerereigniss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<sst xmlns="http://schemas.openxmlformats.org/spreadsheetml/2006/main" count="156" uniqueCount="63">
  <si>
    <t>ID</t>
  </si>
  <si>
    <t>Beschreibung</t>
  </si>
  <si>
    <t>Kontotyp</t>
  </si>
  <si>
    <t>Startdatum</t>
  </si>
  <si>
    <t>Enddatum</t>
  </si>
  <si>
    <t>Kanton</t>
  </si>
  <si>
    <t>ZH</t>
  </si>
  <si>
    <t>Name</t>
  </si>
  <si>
    <t>Zivilstand</t>
  </si>
  <si>
    <t>Konfession</t>
  </si>
  <si>
    <t>Lohn</t>
  </si>
  <si>
    <t>Arbeitgeber</t>
  </si>
  <si>
    <t>Vermögen</t>
  </si>
  <si>
    <t>3a</t>
  </si>
  <si>
    <t>SL</t>
  </si>
  <si>
    <t>UBS</t>
  </si>
  <si>
    <t>PK</t>
  </si>
  <si>
    <t>Meine PK</t>
  </si>
  <si>
    <t>Exogenous</t>
  </si>
  <si>
    <t>Konfession Partner</t>
  </si>
  <si>
    <t>Kredit</t>
  </si>
  <si>
    <t>Steueramt</t>
  </si>
  <si>
    <t>Kreditgeber</t>
  </si>
  <si>
    <t>Wachstum</t>
  </si>
  <si>
    <t>Setup</t>
  </si>
  <si>
    <t>Lohnkonto</t>
  </si>
  <si>
    <t>Datum</t>
  </si>
  <si>
    <t>Sollkonto</t>
  </si>
  <si>
    <t>Habenkonto</t>
  </si>
  <si>
    <t>Steuerart</t>
  </si>
  <si>
    <t>Betrag</t>
  </si>
  <si>
    <t>Initialer Saldo</t>
  </si>
  <si>
    <t>IN</t>
  </si>
  <si>
    <t>Amortisation</t>
  </si>
  <si>
    <t>Einkommen</t>
  </si>
  <si>
    <t>Lohnzahlung</t>
  </si>
  <si>
    <t>OUT</t>
  </si>
  <si>
    <t>Einkauf PK</t>
  </si>
  <si>
    <t>Kreditzinsen</t>
  </si>
  <si>
    <t>Kapitalbezug</t>
  </si>
  <si>
    <t>Ausschüttungsfaktor</t>
  </si>
  <si>
    <t>Rendite</t>
  </si>
  <si>
    <t>Vermögenszuwachs</t>
  </si>
  <si>
    <t>Von</t>
  </si>
  <si>
    <t>Bis</t>
  </si>
  <si>
    <t>Kapitalbesteuerung</t>
  </si>
  <si>
    <t>Bemessung</t>
  </si>
  <si>
    <t>PERIODE</t>
  </si>
  <si>
    <t>Vermögensbesteuerung</t>
  </si>
  <si>
    <t>SALDO</t>
  </si>
  <si>
    <t>Einkommensbesteuerung</t>
  </si>
  <si>
    <t>Jährliche Ausgaben</t>
  </si>
  <si>
    <t>Ausgaben</t>
  </si>
  <si>
    <t>Steuerfluss</t>
  </si>
  <si>
    <t>Nummer</t>
  </si>
  <si>
    <t>Geburtsdatum</t>
  </si>
  <si>
    <t>Geschlecht</t>
  </si>
  <si>
    <t>Test</t>
  </si>
  <si>
    <t>Verheiratet</t>
  </si>
  <si>
    <t>M</t>
  </si>
  <si>
    <t>Reformiert</t>
  </si>
  <si>
    <t>Gemeinde Id</t>
  </si>
  <si>
    <t>Steuer-Id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</si>
</sst>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CFC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A8AC6"/>
        <bgColor indexed="64"/>
      </patternFill>
    </fill>
    <fill>
      <patternFill patternType="solid">
        <fgColor rgb="FF5A8AC6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14" fontId="0" fillId="0" borderId="0" xfId="0" applyNumberFormat="1"/>
    <xf numFmtId="10" fontId="0" fillId="0" borderId="0" xfId="0" applyNumberFormat="1"/>
    <xf numFmtId="9" fontId="0" fillId="0" borderId="0" xfId="1" applyFont="1"/>
    <xf numFmtId="0" fontId="2" fillId="2" borderId="1" xfId="0" applyFont="1" applyFill="1" applyBorder="1"/>
    <xf numFmtId="0" fontId="2" fillId="2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EE65-0125-4D81-8881-133F24534DB9}">
  <dimension ref="A1:G2"/>
  <sheetViews>
    <sheetView workbookViewId="0">
      <selection activeCell="G15" sqref="G15"/>
    </sheetView>
  </sheetViews>
  <sheetFormatPr defaultRowHeight="15" x14ac:dyDescent="0.25"/>
  <cols>
    <col min="1" max="1" width="18.140625" bestFit="1" customWidth="1"/>
    <col min="7" max="7" width="18.140625" bestFit="1" customWidth="1"/>
  </cols>
  <sheetData>
    <row r="1" spans="1:7" x14ac:dyDescent="0.25">
      <c r="A1" s="6" t="s">
        <v>54</v>
      </c>
      <c r="B1" s="6" t="s">
        <v>7</v>
      </c>
      <c r="C1" s="6" t="s">
        <v>55</v>
      </c>
      <c r="D1" s="6" t="s">
        <v>8</v>
      </c>
      <c r="E1" s="6" t="s">
        <v>56</v>
      </c>
      <c r="F1" s="6" t="s">
        <v>9</v>
      </c>
      <c r="G1" s="6" t="s">
        <v>19</v>
      </c>
    </row>
    <row r="2" spans="1:7" x14ac:dyDescent="0.25">
      <c r="A2">
        <v>1</v>
      </c>
      <c r="B2" t="s">
        <v>57</v>
      </c>
      <c r="D2" t="s">
        <v>58</v>
      </c>
      <c r="E2" t="s">
        <v>59</v>
      </c>
      <c r="F2" t="s">
        <v>60</v>
      </c>
    </row>
  </sheetData>
  <dataValidations count="1">
    <dataValidation type="list" allowBlank="1" showInputMessage="1" showErrorMessage="1" sqref="B2" xr:uid="{50B90021-A4A0-45A1-A53D-DCC133D7E961}">
      <formula1>"Alleinstehend, Verheiratet"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C190-0B98-4C71-BDF8-1792310B4F6D}">
  <dimension ref="A1:C2"/>
  <sheetViews>
    <sheetView workbookViewId="0">
      <selection activeCell="D3" sqref="D3"/>
    </sheetView>
  </sheetViews>
  <sheetFormatPr defaultRowHeight="15" x14ac:dyDescent="0.25"/>
  <cols>
    <col min="1" max="1" width="19.140625" bestFit="1" customWidth="1"/>
    <col min="2" max="2" width="10" bestFit="1" customWidth="1"/>
  </cols>
  <sheetData>
    <row r="1" spans="1:3" x14ac:dyDescent="0.25">
      <c r="A1" s="7" t="s">
        <v>61</v>
      </c>
      <c r="B1" s="8" t="s">
        <v>62</v>
      </c>
      <c r="C1" s="8" t="s">
        <v>5</v>
      </c>
    </row>
    <row r="2" spans="1:3" x14ac:dyDescent="0.25">
      <c r="A2" s="9">
        <v>134</v>
      </c>
      <c r="B2" s="9">
        <v>330400000</v>
      </c>
      <c r="C2" s="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D732-4F87-4951-B4C2-942D213D06DA}">
  <dimension ref="A1:B2"/>
  <sheetViews>
    <sheetView workbookViewId="0">
      <selection activeCell="B3" sqref="B3"/>
    </sheetView>
  </sheetViews>
  <sheetFormatPr defaultRowHeight="15" x14ac:dyDescent="0.25"/>
  <cols>
    <col min="1" max="1" width="10.85546875" bestFit="1" customWidth="1"/>
    <col min="2" max="2" width="10.140625" bestFit="1" customWidth="1"/>
  </cols>
  <sheetData>
    <row r="1" spans="1:2" x14ac:dyDescent="0.25">
      <c r="A1" t="s">
        <v>3</v>
      </c>
      <c r="B1" s="2">
        <v>45292</v>
      </c>
    </row>
    <row r="2" spans="1:2" x14ac:dyDescent="0.25">
      <c r="A2" t="s">
        <v>4</v>
      </c>
      <c r="B2" s="2">
        <v>47484</v>
      </c>
    </row>
  </sheetData>
  <dataValidations count="1">
    <dataValidation type="date" allowBlank="1" showInputMessage="1" showErrorMessage="1" sqref="B1" xr:uid="{A2591377-6F2A-4F26-9BCC-AC8BFC1B3D61}">
      <formula1>45292</formula1>
      <formula2>72686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E9" sqref="E9"/>
    </sheetView>
  </sheetViews>
  <sheetFormatPr defaultRowHeight="15" x14ac:dyDescent="0.25"/>
  <cols>
    <col min="1" max="1" width="8.7109375" customWidth="1"/>
    <col min="2" max="2" width="13.140625" bestFit="1" customWidth="1"/>
    <col min="3" max="3" width="10.5703125" bestFit="1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1">
        <v>1</v>
      </c>
      <c r="B2" s="1" t="s">
        <v>11</v>
      </c>
      <c r="C2" s="1" t="s">
        <v>18</v>
      </c>
    </row>
    <row r="3" spans="1:3" x14ac:dyDescent="0.25">
      <c r="A3" s="1">
        <v>2</v>
      </c>
      <c r="B3" s="1" t="s">
        <v>12</v>
      </c>
      <c r="C3" s="1" t="s">
        <v>12</v>
      </c>
    </row>
    <row r="4" spans="1:3" x14ac:dyDescent="0.25">
      <c r="A4" s="1">
        <v>3</v>
      </c>
      <c r="B4" s="1" t="s">
        <v>14</v>
      </c>
      <c r="C4" s="1" t="s">
        <v>13</v>
      </c>
    </row>
    <row r="5" spans="1:3" x14ac:dyDescent="0.25">
      <c r="A5" s="1">
        <v>4</v>
      </c>
      <c r="B5" s="1" t="s">
        <v>15</v>
      </c>
      <c r="C5" s="1" t="s">
        <v>13</v>
      </c>
    </row>
    <row r="6" spans="1:3" x14ac:dyDescent="0.25">
      <c r="A6" s="1">
        <f>A5+1</f>
        <v>5</v>
      </c>
      <c r="B6" s="1" t="s">
        <v>17</v>
      </c>
      <c r="C6" s="1" t="s">
        <v>16</v>
      </c>
    </row>
    <row r="7" spans="1:3" x14ac:dyDescent="0.25">
      <c r="A7" s="1">
        <f t="shared" ref="A7:A21" si="0">A6+1</f>
        <v>6</v>
      </c>
      <c r="B7" s="1" t="s">
        <v>21</v>
      </c>
      <c r="C7" s="1" t="s">
        <v>18</v>
      </c>
    </row>
    <row r="8" spans="1:3" x14ac:dyDescent="0.25">
      <c r="A8" s="1">
        <f t="shared" si="0"/>
        <v>7</v>
      </c>
      <c r="B8" s="1" t="s">
        <v>20</v>
      </c>
      <c r="C8" s="1" t="s">
        <v>12</v>
      </c>
    </row>
    <row r="9" spans="1:3" x14ac:dyDescent="0.25">
      <c r="A9" s="1">
        <f t="shared" si="0"/>
        <v>8</v>
      </c>
      <c r="B9" s="1" t="s">
        <v>22</v>
      </c>
      <c r="C9" s="1" t="s">
        <v>18</v>
      </c>
    </row>
    <row r="10" spans="1:3" x14ac:dyDescent="0.25">
      <c r="A10" s="1">
        <f t="shared" si="0"/>
        <v>9</v>
      </c>
      <c r="B10" s="1" t="s">
        <v>23</v>
      </c>
      <c r="C10" s="1" t="s">
        <v>18</v>
      </c>
    </row>
    <row r="11" spans="1:3" x14ac:dyDescent="0.25">
      <c r="A11" s="1">
        <f t="shared" si="0"/>
        <v>10</v>
      </c>
      <c r="B11" s="1" t="s">
        <v>24</v>
      </c>
      <c r="C11" s="1" t="s">
        <v>18</v>
      </c>
    </row>
    <row r="12" spans="1:3" x14ac:dyDescent="0.25">
      <c r="A12" s="1">
        <f t="shared" si="0"/>
        <v>11</v>
      </c>
      <c r="B12" s="1" t="s">
        <v>25</v>
      </c>
      <c r="C12" s="1" t="s">
        <v>10</v>
      </c>
    </row>
    <row r="13" spans="1:3" x14ac:dyDescent="0.25">
      <c r="A13" s="1">
        <f t="shared" si="0"/>
        <v>12</v>
      </c>
      <c r="B13" s="1" t="s">
        <v>52</v>
      </c>
      <c r="C13" s="1" t="s">
        <v>18</v>
      </c>
    </row>
    <row r="14" spans="1:3" x14ac:dyDescent="0.25">
      <c r="A14" s="1">
        <f t="shared" si="0"/>
        <v>13</v>
      </c>
      <c r="B14" s="1"/>
      <c r="C14" s="1"/>
    </row>
    <row r="15" spans="1:3" x14ac:dyDescent="0.25">
      <c r="A15" s="1">
        <f t="shared" si="0"/>
        <v>14</v>
      </c>
      <c r="B15" s="1"/>
      <c r="C15" s="1"/>
    </row>
    <row r="16" spans="1:3" x14ac:dyDescent="0.25">
      <c r="A16" s="1">
        <f t="shared" si="0"/>
        <v>15</v>
      </c>
      <c r="B16" s="1"/>
      <c r="C16" s="1"/>
    </row>
    <row r="17" spans="1:3" x14ac:dyDescent="0.25">
      <c r="A17" s="1">
        <f t="shared" si="0"/>
        <v>16</v>
      </c>
      <c r="B17" s="1"/>
      <c r="C17" s="1"/>
    </row>
    <row r="18" spans="1:3" x14ac:dyDescent="0.25">
      <c r="A18" s="1">
        <f t="shared" si="0"/>
        <v>17</v>
      </c>
      <c r="B18" s="1"/>
      <c r="C18" s="1"/>
    </row>
    <row r="19" spans="1:3" x14ac:dyDescent="0.25">
      <c r="A19" s="1">
        <f t="shared" si="0"/>
        <v>18</v>
      </c>
      <c r="B19" s="1"/>
      <c r="C19" s="1"/>
    </row>
    <row r="20" spans="1:3" x14ac:dyDescent="0.25">
      <c r="A20" s="1">
        <f t="shared" si="0"/>
        <v>19</v>
      </c>
      <c r="B20" s="1"/>
      <c r="C20" s="1"/>
    </row>
    <row r="21" spans="1:3" x14ac:dyDescent="0.25">
      <c r="A21" s="1">
        <f t="shared" si="0"/>
        <v>20</v>
      </c>
      <c r="B21" s="1"/>
      <c r="C21" s="1"/>
    </row>
  </sheetData>
  <dataValidations count="2">
    <dataValidation type="list" allowBlank="1" showInputMessage="1" showErrorMessage="1" promptTitle="Kontotyp" sqref="C22:C42" xr:uid="{D4AE15E6-E34E-49B0-8D78-41004BD608AD}">
      <formula1>"Income, Wealth, Exogenous, Third Pillar, Occupational Pension"</formula1>
    </dataValidation>
    <dataValidation type="list" allowBlank="1" showInputMessage="1" showErrorMessage="1" promptTitle="Kontotyp" sqref="C2:C21" xr:uid="{EC0365FF-A8E0-40EE-B4D4-4AAD994A3356}">
      <formula1>"Lohn, Vermögen, Exogenous, 3a, PK"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A4C6-1802-4880-8580-86AB5C9C2946}">
  <dimension ref="A1:G19"/>
  <sheetViews>
    <sheetView workbookViewId="0">
      <selection sqref="A1:G1"/>
    </sheetView>
  </sheetViews>
  <sheetFormatPr defaultRowHeight="15" x14ac:dyDescent="0.25"/>
  <cols>
    <col min="1" max="1" width="10.140625" bestFit="1" customWidth="1"/>
    <col min="2" max="2" width="18.28515625" bestFit="1" customWidth="1"/>
    <col min="4" max="4" width="11.85546875" bestFit="1" customWidth="1"/>
    <col min="5" max="5" width="7" bestFit="1" customWidth="1"/>
    <col min="6" max="6" width="17" bestFit="1" customWidth="1"/>
    <col min="7" max="7" width="11" bestFit="1" customWidth="1"/>
    <col min="8" max="8" width="8.42578125" customWidth="1"/>
  </cols>
  <sheetData>
    <row r="1" spans="1:7" x14ac:dyDescent="0.25">
      <c r="A1" s="6" t="s">
        <v>26</v>
      </c>
      <c r="B1" s="6" t="s">
        <v>1</v>
      </c>
      <c r="C1" s="6" t="s">
        <v>27</v>
      </c>
      <c r="D1" s="6" t="s">
        <v>28</v>
      </c>
      <c r="E1" s="6" t="s">
        <v>30</v>
      </c>
      <c r="F1" s="6" t="s">
        <v>29</v>
      </c>
      <c r="G1" s="6" t="s">
        <v>53</v>
      </c>
    </row>
    <row r="2" spans="1:7" x14ac:dyDescent="0.25">
      <c r="A2" s="2">
        <v>45292</v>
      </c>
      <c r="B2" t="s">
        <v>31</v>
      </c>
      <c r="C2">
        <v>10</v>
      </c>
      <c r="D2">
        <v>2</v>
      </c>
      <c r="E2">
        <v>200000</v>
      </c>
      <c r="F2" t="s">
        <v>12</v>
      </c>
      <c r="G2" t="s">
        <v>32</v>
      </c>
    </row>
    <row r="3" spans="1:7" x14ac:dyDescent="0.25">
      <c r="A3" s="2">
        <v>45292</v>
      </c>
      <c r="B3" t="s">
        <v>31</v>
      </c>
      <c r="C3">
        <v>8</v>
      </c>
      <c r="D3">
        <v>7</v>
      </c>
      <c r="E3">
        <v>80000</v>
      </c>
      <c r="F3" t="s">
        <v>12</v>
      </c>
      <c r="G3" t="s">
        <v>32</v>
      </c>
    </row>
    <row r="4" spans="1:7" x14ac:dyDescent="0.25">
      <c r="A4" s="2">
        <v>45658</v>
      </c>
      <c r="B4" t="s">
        <v>33</v>
      </c>
      <c r="C4">
        <v>2</v>
      </c>
      <c r="D4">
        <v>8</v>
      </c>
      <c r="E4">
        <v>10000</v>
      </c>
      <c r="F4" t="s">
        <v>12</v>
      </c>
      <c r="G4" t="s">
        <v>32</v>
      </c>
    </row>
    <row r="5" spans="1:7" x14ac:dyDescent="0.25">
      <c r="A5" s="2">
        <v>45292</v>
      </c>
      <c r="B5" t="s">
        <v>31</v>
      </c>
      <c r="C5">
        <v>10</v>
      </c>
      <c r="D5">
        <v>5</v>
      </c>
      <c r="E5">
        <v>150000</v>
      </c>
    </row>
    <row r="6" spans="1:7" x14ac:dyDescent="0.25">
      <c r="A6" s="2">
        <v>45292</v>
      </c>
      <c r="B6" t="s">
        <v>31</v>
      </c>
      <c r="C6">
        <v>10</v>
      </c>
      <c r="D6">
        <v>4</v>
      </c>
      <c r="E6">
        <v>50000</v>
      </c>
    </row>
    <row r="7" spans="1:7" x14ac:dyDescent="0.25">
      <c r="A7" s="2">
        <v>45292</v>
      </c>
      <c r="B7" t="s">
        <v>31</v>
      </c>
      <c r="C7">
        <v>10</v>
      </c>
      <c r="D7">
        <v>3</v>
      </c>
      <c r="E7">
        <v>20000</v>
      </c>
    </row>
    <row r="8" spans="1:7" x14ac:dyDescent="0.25">
      <c r="A8" s="2">
        <v>45474</v>
      </c>
      <c r="B8" t="s">
        <v>37</v>
      </c>
      <c r="C8">
        <v>11</v>
      </c>
      <c r="D8">
        <v>5</v>
      </c>
      <c r="E8">
        <v>5000</v>
      </c>
      <c r="F8" t="s">
        <v>34</v>
      </c>
      <c r="G8" t="s">
        <v>36</v>
      </c>
    </row>
    <row r="9" spans="1:7" x14ac:dyDescent="0.25">
      <c r="A9" s="2">
        <v>45658</v>
      </c>
      <c r="B9" t="s">
        <v>38</v>
      </c>
      <c r="C9">
        <v>2</v>
      </c>
      <c r="D9">
        <v>8</v>
      </c>
      <c r="E9">
        <v>1600</v>
      </c>
      <c r="F9" t="s">
        <v>34</v>
      </c>
      <c r="G9" t="s">
        <v>36</v>
      </c>
    </row>
    <row r="10" spans="1:7" x14ac:dyDescent="0.25">
      <c r="A10" s="2">
        <v>46023</v>
      </c>
      <c r="B10" t="s">
        <v>38</v>
      </c>
      <c r="C10">
        <v>2</v>
      </c>
      <c r="D10">
        <v>8</v>
      </c>
      <c r="E10">
        <v>1600</v>
      </c>
      <c r="F10" t="s">
        <v>34</v>
      </c>
      <c r="G10" t="s">
        <v>36</v>
      </c>
    </row>
    <row r="11" spans="1:7" x14ac:dyDescent="0.25">
      <c r="A11" s="2">
        <v>45292</v>
      </c>
      <c r="B11" t="s">
        <v>35</v>
      </c>
      <c r="C11">
        <v>1</v>
      </c>
      <c r="D11">
        <v>11</v>
      </c>
      <c r="E11">
        <v>50000</v>
      </c>
      <c r="F11" t="s">
        <v>34</v>
      </c>
      <c r="G11" t="s">
        <v>32</v>
      </c>
    </row>
    <row r="12" spans="1:7" x14ac:dyDescent="0.25">
      <c r="A12" s="2">
        <v>45474</v>
      </c>
      <c r="B12" t="s">
        <v>35</v>
      </c>
      <c r="C12">
        <v>1</v>
      </c>
      <c r="D12">
        <v>11</v>
      </c>
      <c r="E12">
        <v>50000</v>
      </c>
      <c r="F12" t="s">
        <v>34</v>
      </c>
      <c r="G12" t="s">
        <v>32</v>
      </c>
    </row>
    <row r="13" spans="1:7" x14ac:dyDescent="0.25">
      <c r="A13" s="2">
        <v>45658</v>
      </c>
      <c r="B13" t="s">
        <v>35</v>
      </c>
      <c r="C13">
        <v>1</v>
      </c>
      <c r="D13">
        <v>11</v>
      </c>
      <c r="E13">
        <v>50000</v>
      </c>
      <c r="F13" t="s">
        <v>34</v>
      </c>
      <c r="G13" t="s">
        <v>32</v>
      </c>
    </row>
    <row r="14" spans="1:7" x14ac:dyDescent="0.25">
      <c r="A14" s="2">
        <v>45839</v>
      </c>
      <c r="B14" t="s">
        <v>35</v>
      </c>
      <c r="C14">
        <v>1</v>
      </c>
      <c r="D14">
        <v>11</v>
      </c>
      <c r="E14">
        <v>50000</v>
      </c>
      <c r="F14" t="s">
        <v>34</v>
      </c>
      <c r="G14" t="s">
        <v>32</v>
      </c>
    </row>
    <row r="15" spans="1:7" x14ac:dyDescent="0.25">
      <c r="A15" s="2">
        <v>46023</v>
      </c>
      <c r="B15" t="s">
        <v>35</v>
      </c>
      <c r="C15">
        <v>1</v>
      </c>
      <c r="D15">
        <v>11</v>
      </c>
      <c r="E15">
        <v>50000</v>
      </c>
      <c r="F15" t="s">
        <v>34</v>
      </c>
      <c r="G15" t="s">
        <v>32</v>
      </c>
    </row>
    <row r="16" spans="1:7" x14ac:dyDescent="0.25">
      <c r="A16" s="2">
        <v>46204</v>
      </c>
      <c r="B16" t="s">
        <v>35</v>
      </c>
      <c r="C16">
        <v>1</v>
      </c>
      <c r="D16">
        <v>11</v>
      </c>
      <c r="E16">
        <v>50000</v>
      </c>
      <c r="F16" t="s">
        <v>34</v>
      </c>
      <c r="G16" t="s">
        <v>32</v>
      </c>
    </row>
    <row r="17" spans="1:7" x14ac:dyDescent="0.25">
      <c r="A17" s="2">
        <v>45657</v>
      </c>
      <c r="B17" t="s">
        <v>51</v>
      </c>
      <c r="C17">
        <v>2</v>
      </c>
      <c r="D17">
        <v>12</v>
      </c>
      <c r="E17">
        <v>40000</v>
      </c>
      <c r="F17" t="s">
        <v>12</v>
      </c>
      <c r="G17" t="s">
        <v>36</v>
      </c>
    </row>
    <row r="18" spans="1:7" x14ac:dyDescent="0.25">
      <c r="A18" s="2">
        <v>46022</v>
      </c>
      <c r="B18" t="s">
        <v>51</v>
      </c>
      <c r="C18">
        <v>2</v>
      </c>
      <c r="D18">
        <v>12</v>
      </c>
      <c r="E18">
        <v>40000</v>
      </c>
      <c r="F18" t="s">
        <v>12</v>
      </c>
      <c r="G18" t="s">
        <v>36</v>
      </c>
    </row>
    <row r="19" spans="1:7" x14ac:dyDescent="0.25">
      <c r="A19" s="2">
        <v>46387</v>
      </c>
      <c r="B19" t="s">
        <v>51</v>
      </c>
      <c r="C19">
        <v>2</v>
      </c>
      <c r="D19">
        <v>12</v>
      </c>
      <c r="E19">
        <v>40000</v>
      </c>
      <c r="F19" t="s">
        <v>12</v>
      </c>
      <c r="G19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F9D1-6955-4D48-853A-4775D5AE5B10}">
  <dimension ref="A1:G3"/>
  <sheetViews>
    <sheetView workbookViewId="0">
      <selection sqref="A1:G1"/>
    </sheetView>
  </sheetViews>
  <sheetFormatPr defaultRowHeight="15" x14ac:dyDescent="0.25"/>
  <cols>
    <col min="1" max="1" width="10.140625" bestFit="1" customWidth="1"/>
    <col min="2" max="2" width="13.140625" bestFit="1" customWidth="1"/>
    <col min="5" max="5" width="19.42578125" style="3" bestFit="1" customWidth="1"/>
    <col min="6" max="6" width="12.42578125" bestFit="1" customWidth="1"/>
    <col min="7" max="7" width="11" bestFit="1" customWidth="1"/>
  </cols>
  <sheetData>
    <row r="1" spans="1:7" x14ac:dyDescent="0.25">
      <c r="A1" s="6" t="s">
        <v>26</v>
      </c>
      <c r="B1" s="6" t="s">
        <v>1</v>
      </c>
      <c r="C1" s="6" t="s">
        <v>27</v>
      </c>
      <c r="D1" s="6" t="s">
        <v>28</v>
      </c>
      <c r="E1" s="6" t="s">
        <v>40</v>
      </c>
      <c r="F1" s="6" t="s">
        <v>29</v>
      </c>
      <c r="G1" s="6" t="s">
        <v>53</v>
      </c>
    </row>
    <row r="2" spans="1:7" x14ac:dyDescent="0.25">
      <c r="A2" s="2">
        <v>46387</v>
      </c>
      <c r="B2" t="s">
        <v>39</v>
      </c>
      <c r="C2">
        <v>4</v>
      </c>
      <c r="D2">
        <v>2</v>
      </c>
      <c r="E2" s="3">
        <v>1</v>
      </c>
      <c r="F2" t="s">
        <v>39</v>
      </c>
      <c r="G2" t="s">
        <v>32</v>
      </c>
    </row>
    <row r="3" spans="1:7" x14ac:dyDescent="0.25">
      <c r="A3" s="2">
        <v>46387</v>
      </c>
      <c r="B3" t="s">
        <v>39</v>
      </c>
      <c r="C3">
        <v>3</v>
      </c>
      <c r="D3">
        <v>2</v>
      </c>
      <c r="E3" s="3">
        <v>1</v>
      </c>
      <c r="F3" t="s">
        <v>39</v>
      </c>
      <c r="G3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F4B8-706F-4D5E-9BF8-8073B9ABD174}">
  <dimension ref="A1:G4"/>
  <sheetViews>
    <sheetView workbookViewId="0">
      <selection sqref="A1:G1"/>
    </sheetView>
  </sheetViews>
  <sheetFormatPr defaultRowHeight="15" x14ac:dyDescent="0.25"/>
  <cols>
    <col min="1" max="1" width="10.140625" bestFit="1" customWidth="1"/>
    <col min="2" max="2" width="18.85546875" bestFit="1" customWidth="1"/>
    <col min="4" max="4" width="11.85546875" bestFit="1" customWidth="1"/>
    <col min="5" max="5" width="9.140625" style="4"/>
    <col min="6" max="6" width="10.28515625" bestFit="1" customWidth="1"/>
  </cols>
  <sheetData>
    <row r="1" spans="1:7" x14ac:dyDescent="0.25">
      <c r="A1" s="6" t="s">
        <v>26</v>
      </c>
      <c r="B1" s="6" t="s">
        <v>1</v>
      </c>
      <c r="C1" s="6" t="s">
        <v>27</v>
      </c>
      <c r="D1" s="6" t="s">
        <v>28</v>
      </c>
      <c r="E1" s="6" t="s">
        <v>41</v>
      </c>
      <c r="F1" s="6" t="s">
        <v>29</v>
      </c>
      <c r="G1" s="6" t="s">
        <v>53</v>
      </c>
    </row>
    <row r="2" spans="1:7" x14ac:dyDescent="0.25">
      <c r="A2" s="2">
        <v>45292</v>
      </c>
      <c r="B2" t="s">
        <v>42</v>
      </c>
      <c r="C2">
        <v>9</v>
      </c>
      <c r="D2">
        <v>2</v>
      </c>
      <c r="E2" s="4">
        <v>0.02</v>
      </c>
      <c r="F2" t="s">
        <v>12</v>
      </c>
      <c r="G2" t="s">
        <v>32</v>
      </c>
    </row>
    <row r="3" spans="1:7" x14ac:dyDescent="0.25">
      <c r="A3" s="2">
        <v>45658</v>
      </c>
      <c r="B3" t="s">
        <v>42</v>
      </c>
      <c r="C3">
        <v>9</v>
      </c>
      <c r="D3">
        <v>2</v>
      </c>
      <c r="E3" s="4">
        <v>0.04</v>
      </c>
      <c r="F3" t="s">
        <v>12</v>
      </c>
      <c r="G3" t="s">
        <v>32</v>
      </c>
    </row>
    <row r="4" spans="1:7" x14ac:dyDescent="0.25">
      <c r="A4" s="2">
        <v>46023</v>
      </c>
      <c r="B4" t="s">
        <v>42</v>
      </c>
      <c r="C4">
        <v>9</v>
      </c>
      <c r="D4">
        <v>2</v>
      </c>
      <c r="E4" s="4">
        <v>0.01</v>
      </c>
      <c r="F4" t="s">
        <v>12</v>
      </c>
      <c r="G4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3DAD-C2A8-4BE4-AC70-C5E5AEA78C64}">
  <dimension ref="A1:G8"/>
  <sheetViews>
    <sheetView tabSelected="1" workbookViewId="0">
      <selection activeCell="C18" sqref="C18"/>
    </sheetView>
  </sheetViews>
  <sheetFormatPr defaultRowHeight="15" x14ac:dyDescent="0.25"/>
  <cols>
    <col min="1" max="2" width="10.140625" bestFit="1" customWidth="1"/>
    <col min="3" max="3" width="12.85546875" customWidth="1"/>
    <col min="4" max="4" width="24.140625" bestFit="1" customWidth="1"/>
    <col min="6" max="6" width="11.85546875" bestFit="1" customWidth="1"/>
    <col min="7" max="7" width="12.42578125" bestFit="1" customWidth="1"/>
  </cols>
  <sheetData>
    <row r="1" spans="1:7" x14ac:dyDescent="0.25">
      <c r="A1" s="6" t="s">
        <v>43</v>
      </c>
      <c r="B1" s="6" t="s">
        <v>44</v>
      </c>
      <c r="C1" s="6" t="s">
        <v>46</v>
      </c>
      <c r="D1" s="6" t="s">
        <v>1</v>
      </c>
      <c r="E1" s="6" t="s">
        <v>27</v>
      </c>
      <c r="F1" s="6" t="s">
        <v>28</v>
      </c>
      <c r="G1" s="6" t="s">
        <v>29</v>
      </c>
    </row>
    <row r="2" spans="1:7" x14ac:dyDescent="0.25">
      <c r="A2" s="2">
        <v>46023</v>
      </c>
      <c r="B2" s="2">
        <v>46387</v>
      </c>
      <c r="C2" s="2" t="s">
        <v>47</v>
      </c>
      <c r="D2" t="s">
        <v>45</v>
      </c>
      <c r="E2">
        <v>2</v>
      </c>
      <c r="F2">
        <v>6</v>
      </c>
      <c r="G2" t="s">
        <v>39</v>
      </c>
    </row>
    <row r="3" spans="1:7" x14ac:dyDescent="0.25">
      <c r="A3" s="2"/>
      <c r="B3" s="2">
        <v>45657</v>
      </c>
      <c r="C3" s="2" t="s">
        <v>49</v>
      </c>
      <c r="D3" t="s">
        <v>48</v>
      </c>
      <c r="E3">
        <v>2</v>
      </c>
      <c r="F3">
        <v>6</v>
      </c>
      <c r="G3" t="s">
        <v>12</v>
      </c>
    </row>
    <row r="4" spans="1:7" x14ac:dyDescent="0.25">
      <c r="A4" s="2"/>
      <c r="B4" s="2">
        <v>46022</v>
      </c>
      <c r="C4" s="2" t="s">
        <v>49</v>
      </c>
      <c r="D4" t="s">
        <v>48</v>
      </c>
      <c r="E4">
        <v>2</v>
      </c>
      <c r="F4">
        <v>6</v>
      </c>
      <c r="G4" t="s">
        <v>12</v>
      </c>
    </row>
    <row r="5" spans="1:7" x14ac:dyDescent="0.25">
      <c r="B5" s="2">
        <v>46387</v>
      </c>
      <c r="C5" s="2" t="s">
        <v>49</v>
      </c>
      <c r="D5" t="s">
        <v>48</v>
      </c>
      <c r="E5">
        <v>2</v>
      </c>
      <c r="F5">
        <v>6</v>
      </c>
      <c r="G5" t="s">
        <v>12</v>
      </c>
    </row>
    <row r="6" spans="1:7" x14ac:dyDescent="0.25">
      <c r="A6" s="2">
        <v>45292</v>
      </c>
      <c r="B6" s="2">
        <v>45657</v>
      </c>
      <c r="C6" s="2" t="s">
        <v>47</v>
      </c>
      <c r="D6" t="s">
        <v>50</v>
      </c>
      <c r="E6">
        <v>2</v>
      </c>
      <c r="F6">
        <v>6</v>
      </c>
      <c r="G6" t="s">
        <v>34</v>
      </c>
    </row>
    <row r="7" spans="1:7" x14ac:dyDescent="0.25">
      <c r="A7" s="2">
        <v>45658</v>
      </c>
      <c r="B7" s="2">
        <v>46022</v>
      </c>
      <c r="C7" s="2" t="s">
        <v>47</v>
      </c>
      <c r="D7" t="s">
        <v>50</v>
      </c>
      <c r="E7">
        <v>2</v>
      </c>
      <c r="F7">
        <v>6</v>
      </c>
      <c r="G7" t="s">
        <v>34</v>
      </c>
    </row>
    <row r="8" spans="1:7" x14ac:dyDescent="0.25">
      <c r="A8" s="2">
        <v>46023</v>
      </c>
      <c r="B8" s="2">
        <v>46387</v>
      </c>
      <c r="C8" s="2" t="s">
        <v>47</v>
      </c>
      <c r="D8" t="s">
        <v>50</v>
      </c>
      <c r="E8">
        <v>2</v>
      </c>
      <c r="F8">
        <v>6</v>
      </c>
      <c r="G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Person</vt:lpstr>
      <vt:lpstr>Steuergemeinde</vt:lpstr>
      <vt:lpstr>Parameter</vt:lpstr>
      <vt:lpstr>Kontoverzeichnis</vt:lpstr>
      <vt:lpstr>Fixbetrag Trx</vt:lpstr>
      <vt:lpstr>Transfer Trx</vt:lpstr>
      <vt:lpstr>Wachstum Trx</vt:lpstr>
      <vt:lpstr>Steuerereignisse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 Niggeler</dc:creator>
  <cp:lastModifiedBy>Niggeler Dieter (CH/IUT)</cp:lastModifiedBy>
  <dcterms:created xsi:type="dcterms:W3CDTF">2015-06-05T18:17:20Z</dcterms:created>
  <dcterms:modified xsi:type="dcterms:W3CDTF">2025-03-08T09:09:27Z</dcterms:modified>
</cp:coreProperties>
</file>