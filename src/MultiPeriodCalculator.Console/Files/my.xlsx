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space\repos\PensionTools\src\MultiPeriodCalculator.Console\Files\"/>
    </mc:Choice>
  </mc:AlternateContent>
  <xr:revisionPtr revIDLastSave="0" documentId="13_ncr:1_{B2A0CD6C-AF9E-4DD7-A27E-57A933E62011}" xr6:coauthVersionLast="47" xr6:coauthVersionMax="47" xr10:uidLastSave="{00000000-0000-0000-0000-000000000000}"/>
  <bookViews>
    <workbookView xWindow="20520" yWindow="1095" windowWidth="30630" windowHeight="19200" tabRatio="598" activeTab="5" xr2:uid="{00000000-000D-0000-FFFF-FFFF00000000}"/>
  </bookViews>
  <sheets>
    <sheet name="Person" sheetId="4" r:id="rId1"/>
    <sheet name="Steuergemeinde" sheetId="5" r:id="rId2"/>
    <sheet name="Parameter" sheetId="6" r:id="rId3"/>
    <sheet name="Kontoverzeichnis" sheetId="1" r:id="rId4"/>
    <sheet name="Fixbetrag Trx" sheetId="2" r:id="rId5"/>
    <sheet name="Transfer Trx" sheetId="3" r:id="rId6"/>
    <sheet name="Wachstum Trx" sheetId="7" r:id="rId7"/>
    <sheet name="Steuerereigniss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8" i="1" s="1"/>
  <c r="A29" i="1" s="1"/>
  <c r="A30" i="1" s="1"/>
  <c r="A31" i="1" s="1"/>
  <c r="A32" i="1" s="1"/>
  <c r="A33" i="1" s="1"/>
  <c r="A34" i="1" s="1"/>
</calcChain>
</file>

<file path=xl/sharedStrings.xml><?xml version="1.0" encoding="utf-8"?>
<sst xmlns="http://schemas.openxmlformats.org/spreadsheetml/2006/main" count="339" uniqueCount="83">
  <si>
    <t>ID</t>
  </si>
  <si>
    <t>Beschreibung</t>
  </si>
  <si>
    <t>Kontotyp</t>
  </si>
  <si>
    <t>Startdatum</t>
  </si>
  <si>
    <t>Enddatum</t>
  </si>
  <si>
    <t>Kanton</t>
  </si>
  <si>
    <t>ZH</t>
  </si>
  <si>
    <t>Name</t>
  </si>
  <si>
    <t>Zivilstand</t>
  </si>
  <si>
    <t>Konfession</t>
  </si>
  <si>
    <t>Lohn</t>
  </si>
  <si>
    <t>Arbeitgeber</t>
  </si>
  <si>
    <t>Vermögen</t>
  </si>
  <si>
    <t>3a</t>
  </si>
  <si>
    <t>UBS</t>
  </si>
  <si>
    <t>PK</t>
  </si>
  <si>
    <t>Exogenous</t>
  </si>
  <si>
    <t>Konfession Partner</t>
  </si>
  <si>
    <t>Steueramt</t>
  </si>
  <si>
    <t>Wachstum</t>
  </si>
  <si>
    <t>Setup</t>
  </si>
  <si>
    <t>Datum</t>
  </si>
  <si>
    <t>Sollkonto</t>
  </si>
  <si>
    <t>Habenkonto</t>
  </si>
  <si>
    <t>Steuerart</t>
  </si>
  <si>
    <t>Betrag</t>
  </si>
  <si>
    <t>Initialer Saldo</t>
  </si>
  <si>
    <t>IN</t>
  </si>
  <si>
    <t>Einkommen</t>
  </si>
  <si>
    <t>Lohnzahlung</t>
  </si>
  <si>
    <t>OUT</t>
  </si>
  <si>
    <t>Kapitalbezug</t>
  </si>
  <si>
    <t>Ausschüttungsfaktor</t>
  </si>
  <si>
    <t>Rendite</t>
  </si>
  <si>
    <t>Vermögenszuwachs</t>
  </si>
  <si>
    <t>Von</t>
  </si>
  <si>
    <t>Bis</t>
  </si>
  <si>
    <t>Kapitalbesteuerung</t>
  </si>
  <si>
    <t>Bemessung</t>
  </si>
  <si>
    <t>PERIODE</t>
  </si>
  <si>
    <t>Vermögensbesteuerung</t>
  </si>
  <si>
    <t>SALDO</t>
  </si>
  <si>
    <t>Einkommensbesteuerung</t>
  </si>
  <si>
    <t>Jährliche Ausgaben</t>
  </si>
  <si>
    <t>Ausgaben</t>
  </si>
  <si>
    <t>Steuerfluss</t>
  </si>
  <si>
    <t>Nummer</t>
  </si>
  <si>
    <t>Geburtsdatum</t>
  </si>
  <si>
    <t>Geschlecht</t>
  </si>
  <si>
    <t>Test</t>
  </si>
  <si>
    <t>Verheiratet</t>
  </si>
  <si>
    <t>M</t>
  </si>
  <si>
    <t>Gemeinde Id</t>
  </si>
  <si>
    <t>Steuer-Id</t>
  </si>
  <si>
    <t># Setup Kontosaldi</t>
  </si>
  <si>
    <t># Exogene Konti</t>
  </si>
  <si>
    <t># Ausgaben</t>
  </si>
  <si>
    <t># Vorsorge</t>
  </si>
  <si>
    <t>Baloise</t>
  </si>
  <si>
    <t># Einkommen</t>
  </si>
  <si>
    <t>PK Nidi</t>
  </si>
  <si>
    <t>PK Maria</t>
  </si>
  <si>
    <t># Vermögen</t>
  </si>
  <si>
    <t>UBS Konto Nidi</t>
  </si>
  <si>
    <t>Lohnkonto Nidi</t>
  </si>
  <si>
    <t>Lohnkonto Maria</t>
  </si>
  <si>
    <t>UBS Konto Maria</t>
  </si>
  <si>
    <t>Swissquote</t>
  </si>
  <si>
    <t>UBS Depot</t>
  </si>
  <si>
    <t>SL Nidi</t>
  </si>
  <si>
    <t>SL Maria</t>
  </si>
  <si>
    <t>Frankly Nidi</t>
  </si>
  <si>
    <t>Frankly Maria</t>
  </si>
  <si>
    <t>True Wealth</t>
  </si>
  <si>
    <t>Sonstiges Vermögen</t>
  </si>
  <si>
    <t>Keine</t>
  </si>
  <si>
    <t># Lohnzahlungen Nidi</t>
  </si>
  <si>
    <t># Lohnzahlungen Maria</t>
  </si>
  <si>
    <t>Einkauf 3a</t>
  </si>
  <si>
    <t># Einkäufe 3a Nidi</t>
  </si>
  <si>
    <t># Einkäufe 3a Maria</t>
  </si>
  <si>
    <t># Einkäufe PK</t>
  </si>
  <si>
    <t>Einkauf PK Nidi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</si>
</sst>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CFC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8AC6"/>
        <bgColor indexed="64"/>
      </patternFill>
    </fill>
    <fill>
      <patternFill patternType="solid">
        <fgColor rgb="FF5A8AC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4" fontId="0" fillId="0" borderId="0" xfId="0" applyNumberFormat="1"/>
    <xf numFmtId="10" fontId="0" fillId="0" borderId="0" xfId="0" applyNumberFormat="1"/>
    <xf numFmtId="9" fontId="0" fillId="0" borderId="0" xfId="1" applyFont="1"/>
    <xf numFmtId="0" fontId="2" fillId="2" borderId="1" xfId="0" applyFont="1" applyFill="1" applyBorder="1"/>
    <xf numFmtId="0" fontId="2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6EE65-0125-4D81-8881-133F24534DB9}">
  <dimension ref="A1:G2"/>
  <sheetViews>
    <sheetView workbookViewId="0">
      <selection activeCell="E10" sqref="E10"/>
    </sheetView>
  </sheetViews>
  <sheetFormatPr defaultRowHeight="15" x14ac:dyDescent="0.25"/>
  <cols>
    <col min="1" max="1" width="18.140625" bestFit="1" customWidth="1"/>
    <col min="3" max="3" width="13.85546875" bestFit="1" customWidth="1"/>
    <col min="4" max="4" width="11.28515625" bestFit="1" customWidth="1"/>
    <col min="5" max="5" width="10.7109375" bestFit="1" customWidth="1"/>
    <col min="6" max="6" width="10.85546875" bestFit="1" customWidth="1"/>
    <col min="7" max="7" width="18.140625" bestFit="1" customWidth="1"/>
  </cols>
  <sheetData>
    <row r="1" spans="1:7" x14ac:dyDescent="0.25">
      <c r="A1" s="6" t="s">
        <v>46</v>
      </c>
      <c r="B1" s="6" t="s">
        <v>7</v>
      </c>
      <c r="C1" s="6" t="s">
        <v>47</v>
      </c>
      <c r="D1" s="6" t="s">
        <v>8</v>
      </c>
      <c r="E1" s="6" t="s">
        <v>48</v>
      </c>
      <c r="F1" s="6" t="s">
        <v>9</v>
      </c>
      <c r="G1" s="6" t="s">
        <v>17</v>
      </c>
    </row>
    <row r="2" spans="1:7" x14ac:dyDescent="0.25">
      <c r="A2">
        <v>1</v>
      </c>
      <c r="B2" t="s">
        <v>49</v>
      </c>
      <c r="C2" s="2">
        <v>25279</v>
      </c>
      <c r="D2" t="s">
        <v>50</v>
      </c>
      <c r="E2" t="s">
        <v>51</v>
      </c>
      <c r="F2" t="s">
        <v>75</v>
      </c>
      <c r="G2" t="s">
        <v>75</v>
      </c>
    </row>
  </sheetData>
  <dataValidations count="1">
    <dataValidation type="list" allowBlank="1" showInputMessage="1" showErrorMessage="1" sqref="B2" xr:uid="{50B90021-A4A0-45A1-A53D-DCC133D7E961}">
      <formula1>"Alleinstehend, Verheiratet"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C190-0B98-4C71-BDF8-1792310B4F6D}">
  <dimension ref="A1:C2"/>
  <sheetViews>
    <sheetView workbookViewId="0">
      <selection activeCell="D3" sqref="D3"/>
    </sheetView>
  </sheetViews>
  <sheetFormatPr defaultRowHeight="15" x14ac:dyDescent="0.25"/>
  <cols>
    <col min="1" max="1" width="19.140625" bestFit="1" customWidth="1"/>
    <col min="2" max="2" width="10" bestFit="1" customWidth="1"/>
  </cols>
  <sheetData>
    <row r="1" spans="1:3" x14ac:dyDescent="0.25">
      <c r="A1" s="7" t="s">
        <v>52</v>
      </c>
      <c r="B1" s="8" t="s">
        <v>53</v>
      </c>
      <c r="C1" s="8" t="s">
        <v>5</v>
      </c>
    </row>
    <row r="2" spans="1:3" x14ac:dyDescent="0.25">
      <c r="A2" s="9">
        <v>134</v>
      </c>
      <c r="B2" s="9">
        <v>330400000</v>
      </c>
      <c r="C2" s="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D732-4F87-4951-B4C2-942D213D06DA}">
  <dimension ref="A1:B2"/>
  <sheetViews>
    <sheetView workbookViewId="0">
      <selection activeCell="B3" sqref="B3"/>
    </sheetView>
  </sheetViews>
  <sheetFormatPr defaultRowHeight="15" x14ac:dyDescent="0.25"/>
  <cols>
    <col min="1" max="1" width="10.85546875" bestFit="1" customWidth="1"/>
    <col min="2" max="2" width="10.140625" bestFit="1" customWidth="1"/>
  </cols>
  <sheetData>
    <row r="1" spans="1:2" x14ac:dyDescent="0.25">
      <c r="A1" t="s">
        <v>3</v>
      </c>
      <c r="B1" s="2">
        <v>45292</v>
      </c>
    </row>
    <row r="2" spans="1:2" x14ac:dyDescent="0.25">
      <c r="A2" t="s">
        <v>4</v>
      </c>
      <c r="B2" s="2">
        <v>47484</v>
      </c>
    </row>
  </sheetData>
  <dataValidations count="1">
    <dataValidation type="date" allowBlank="1" showInputMessage="1" showErrorMessage="1" sqref="B1" xr:uid="{A2591377-6F2A-4F26-9BCC-AC8BFC1B3D61}">
      <formula1>45292</formula1>
      <formula2>72686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activeCell="B12" sqref="B12"/>
    </sheetView>
  </sheetViews>
  <sheetFormatPr defaultRowHeight="15" x14ac:dyDescent="0.25"/>
  <cols>
    <col min="1" max="1" width="8.7109375" customWidth="1"/>
    <col min="2" max="2" width="19.42578125" bestFit="1" customWidth="1"/>
    <col min="3" max="3" width="10.5703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1" t="s">
        <v>57</v>
      </c>
      <c r="B2" s="1"/>
      <c r="C2" s="1"/>
    </row>
    <row r="3" spans="1:3" x14ac:dyDescent="0.25">
      <c r="A3" s="1">
        <v>1</v>
      </c>
      <c r="B3" s="1" t="s">
        <v>69</v>
      </c>
      <c r="C3" s="1" t="s">
        <v>13</v>
      </c>
    </row>
    <row r="4" spans="1:3" x14ac:dyDescent="0.25">
      <c r="A4" s="1">
        <v>2</v>
      </c>
      <c r="B4" s="1" t="s">
        <v>70</v>
      </c>
      <c r="C4" s="1" t="s">
        <v>13</v>
      </c>
    </row>
    <row r="5" spans="1:3" x14ac:dyDescent="0.25">
      <c r="A5" s="1">
        <v>3</v>
      </c>
      <c r="B5" s="1" t="s">
        <v>14</v>
      </c>
      <c r="C5" s="1" t="s">
        <v>13</v>
      </c>
    </row>
    <row r="6" spans="1:3" x14ac:dyDescent="0.25">
      <c r="A6" s="1">
        <v>4</v>
      </c>
      <c r="B6" s="1" t="s">
        <v>58</v>
      </c>
      <c r="C6" s="1" t="s">
        <v>13</v>
      </c>
    </row>
    <row r="7" spans="1:3" x14ac:dyDescent="0.25">
      <c r="A7" s="1">
        <v>5</v>
      </c>
      <c r="B7" s="1" t="s">
        <v>71</v>
      </c>
      <c r="C7" s="1" t="s">
        <v>13</v>
      </c>
    </row>
    <row r="8" spans="1:3" x14ac:dyDescent="0.25">
      <c r="A8" s="1">
        <v>6</v>
      </c>
      <c r="B8" s="1" t="s">
        <v>72</v>
      </c>
      <c r="C8" s="1" t="s">
        <v>13</v>
      </c>
    </row>
    <row r="9" spans="1:3" x14ac:dyDescent="0.25">
      <c r="A9" s="1">
        <v>7</v>
      </c>
      <c r="B9" s="1" t="s">
        <v>60</v>
      </c>
      <c r="C9" s="1" t="s">
        <v>15</v>
      </c>
    </row>
    <row r="10" spans="1:3" x14ac:dyDescent="0.25">
      <c r="A10" s="1">
        <v>8</v>
      </c>
      <c r="B10" s="1" t="s">
        <v>61</v>
      </c>
      <c r="C10" s="1" t="s">
        <v>15</v>
      </c>
    </row>
    <row r="11" spans="1:3" x14ac:dyDescent="0.25">
      <c r="A11" s="1" t="s">
        <v>59</v>
      </c>
      <c r="B11" s="1"/>
      <c r="C11" s="1"/>
    </row>
    <row r="12" spans="1:3" x14ac:dyDescent="0.25">
      <c r="A12" s="1">
        <v>9</v>
      </c>
      <c r="B12" s="1" t="s">
        <v>64</v>
      </c>
      <c r="C12" s="1" t="s">
        <v>10</v>
      </c>
    </row>
    <row r="13" spans="1:3" x14ac:dyDescent="0.25">
      <c r="A13" s="1">
        <v>10</v>
      </c>
      <c r="B13" s="1" t="s">
        <v>65</v>
      </c>
      <c r="C13" s="1" t="s">
        <v>10</v>
      </c>
    </row>
    <row r="14" spans="1:3" x14ac:dyDescent="0.25">
      <c r="A14" s="1" t="s">
        <v>62</v>
      </c>
      <c r="B14" s="1"/>
      <c r="C14" s="1"/>
    </row>
    <row r="15" spans="1:3" x14ac:dyDescent="0.25">
      <c r="A15" s="1">
        <v>11</v>
      </c>
      <c r="B15" s="1" t="s">
        <v>63</v>
      </c>
      <c r="C15" s="1" t="s">
        <v>12</v>
      </c>
    </row>
    <row r="16" spans="1:3" x14ac:dyDescent="0.25">
      <c r="A16" s="1">
        <v>12</v>
      </c>
      <c r="B16" s="1" t="s">
        <v>66</v>
      </c>
      <c r="C16" s="1" t="s">
        <v>12</v>
      </c>
    </row>
    <row r="17" spans="1:3" x14ac:dyDescent="0.25">
      <c r="A17" s="1">
        <v>13</v>
      </c>
      <c r="B17" s="1" t="s">
        <v>67</v>
      </c>
      <c r="C17" s="1" t="s">
        <v>12</v>
      </c>
    </row>
    <row r="18" spans="1:3" x14ac:dyDescent="0.25">
      <c r="A18" s="1">
        <v>14</v>
      </c>
      <c r="B18" s="1" t="s">
        <v>68</v>
      </c>
      <c r="C18" s="1" t="s">
        <v>12</v>
      </c>
    </row>
    <row r="19" spans="1:3" x14ac:dyDescent="0.25">
      <c r="A19" s="1">
        <v>15</v>
      </c>
      <c r="B19" s="1" t="s">
        <v>73</v>
      </c>
      <c r="C19" s="1" t="s">
        <v>12</v>
      </c>
    </row>
    <row r="20" spans="1:3" x14ac:dyDescent="0.25">
      <c r="A20" s="1">
        <v>16</v>
      </c>
      <c r="B20" s="1" t="s">
        <v>74</v>
      </c>
      <c r="C20" s="1" t="s">
        <v>12</v>
      </c>
    </row>
    <row r="21" spans="1:3" x14ac:dyDescent="0.25">
      <c r="A21" s="1" t="s">
        <v>55</v>
      </c>
      <c r="B21" s="1"/>
      <c r="C21" s="1"/>
    </row>
    <row r="22" spans="1:3" x14ac:dyDescent="0.25">
      <c r="A22" s="1">
        <v>17</v>
      </c>
      <c r="B22" s="1" t="s">
        <v>11</v>
      </c>
      <c r="C22" s="1" t="s">
        <v>16</v>
      </c>
    </row>
    <row r="23" spans="1:3" x14ac:dyDescent="0.25">
      <c r="A23" s="1">
        <v>18</v>
      </c>
      <c r="B23" s="1" t="s">
        <v>19</v>
      </c>
      <c r="C23" s="1" t="s">
        <v>16</v>
      </c>
    </row>
    <row r="24" spans="1:3" x14ac:dyDescent="0.25">
      <c r="A24" s="1">
        <v>19</v>
      </c>
      <c r="B24" s="1" t="s">
        <v>20</v>
      </c>
      <c r="C24" s="1" t="s">
        <v>16</v>
      </c>
    </row>
    <row r="25" spans="1:3" x14ac:dyDescent="0.25">
      <c r="A25" s="1">
        <v>20</v>
      </c>
      <c r="B25" s="1" t="s">
        <v>18</v>
      </c>
      <c r="C25" s="1" t="s">
        <v>16</v>
      </c>
    </row>
    <row r="26" spans="1:3" x14ac:dyDescent="0.25">
      <c r="A26" s="1">
        <v>21</v>
      </c>
      <c r="B26" s="1" t="s">
        <v>44</v>
      </c>
      <c r="C26" s="1" t="s">
        <v>16</v>
      </c>
    </row>
    <row r="27" spans="1:3" x14ac:dyDescent="0.25">
      <c r="A27" s="1">
        <f t="shared" ref="A27:A34" si="0">A26+1</f>
        <v>22</v>
      </c>
      <c r="B27" s="1"/>
      <c r="C27" s="1"/>
    </row>
    <row r="28" spans="1:3" x14ac:dyDescent="0.25">
      <c r="A28" s="1">
        <f t="shared" si="0"/>
        <v>23</v>
      </c>
      <c r="B28" s="1"/>
      <c r="C28" s="1"/>
    </row>
    <row r="29" spans="1:3" x14ac:dyDescent="0.25">
      <c r="A29" s="1">
        <f t="shared" si="0"/>
        <v>24</v>
      </c>
      <c r="B29" s="1"/>
      <c r="C29" s="1"/>
    </row>
    <row r="30" spans="1:3" x14ac:dyDescent="0.25">
      <c r="A30" s="1">
        <f t="shared" si="0"/>
        <v>25</v>
      </c>
      <c r="B30" s="1"/>
      <c r="C30" s="1"/>
    </row>
    <row r="31" spans="1:3" x14ac:dyDescent="0.25">
      <c r="A31" s="1">
        <f t="shared" si="0"/>
        <v>26</v>
      </c>
      <c r="B31" s="1"/>
      <c r="C31" s="1"/>
    </row>
    <row r="32" spans="1:3" x14ac:dyDescent="0.25">
      <c r="A32" s="1">
        <f t="shared" si="0"/>
        <v>27</v>
      </c>
      <c r="B32" s="1"/>
      <c r="C32" s="1"/>
    </row>
    <row r="33" spans="1:3" x14ac:dyDescent="0.25">
      <c r="A33" s="1">
        <f t="shared" si="0"/>
        <v>28</v>
      </c>
      <c r="B33" s="1"/>
      <c r="C33" s="1"/>
    </row>
    <row r="34" spans="1:3" x14ac:dyDescent="0.25">
      <c r="A34" s="1">
        <f t="shared" si="0"/>
        <v>29</v>
      </c>
      <c r="B34" s="1"/>
      <c r="C34" s="1"/>
    </row>
  </sheetData>
  <dataValidations count="2">
    <dataValidation type="list" allowBlank="1" showInputMessage="1" showErrorMessage="1" promptTitle="Kontotyp" sqref="C35:C55" xr:uid="{D4AE15E6-E34E-49B0-8D78-41004BD608AD}">
      <formula1>"Income, Wealth, Exogenous, Third Pillar, Occupational Pension"</formula1>
    </dataValidation>
    <dataValidation type="list" allowBlank="1" showInputMessage="1" showErrorMessage="1" promptTitle="Kontotyp" sqref="C2:C34" xr:uid="{EC0365FF-A8E0-40EE-B4D4-4AAD994A3356}">
      <formula1>"Lohn, Vermögen, Exogenous, 3a, PK"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A4C6-1802-4880-8580-86AB5C9C2946}">
  <dimension ref="A1:G77"/>
  <sheetViews>
    <sheetView workbookViewId="0">
      <selection activeCell="L25" sqref="L25"/>
    </sheetView>
  </sheetViews>
  <sheetFormatPr defaultRowHeight="15" x14ac:dyDescent="0.25"/>
  <cols>
    <col min="1" max="1" width="10.140625" bestFit="1" customWidth="1"/>
    <col min="2" max="2" width="18.28515625" bestFit="1" customWidth="1"/>
    <col min="4" max="4" width="11.85546875" bestFit="1" customWidth="1"/>
    <col min="5" max="5" width="7" bestFit="1" customWidth="1"/>
    <col min="6" max="6" width="17" bestFit="1" customWidth="1"/>
    <col min="7" max="7" width="11" bestFit="1" customWidth="1"/>
    <col min="8" max="8" width="8.42578125" customWidth="1"/>
  </cols>
  <sheetData>
    <row r="1" spans="1:7" x14ac:dyDescent="0.25">
      <c r="A1" s="6" t="s">
        <v>21</v>
      </c>
      <c r="B1" s="6" t="s">
        <v>1</v>
      </c>
      <c r="C1" s="6" t="s">
        <v>22</v>
      </c>
      <c r="D1" s="6" t="s">
        <v>23</v>
      </c>
      <c r="E1" s="6" t="s">
        <v>25</v>
      </c>
      <c r="F1" s="6" t="s">
        <v>24</v>
      </c>
      <c r="G1" s="6" t="s">
        <v>45</v>
      </c>
    </row>
    <row r="2" spans="1:7" x14ac:dyDescent="0.25">
      <c r="A2" s="2" t="s">
        <v>54</v>
      </c>
      <c r="B2" s="2"/>
      <c r="C2" s="2"/>
      <c r="D2" s="2"/>
      <c r="E2" s="2"/>
      <c r="F2" s="2"/>
      <c r="G2" s="2"/>
    </row>
    <row r="3" spans="1:7" x14ac:dyDescent="0.25">
      <c r="A3" s="2">
        <v>45658</v>
      </c>
      <c r="B3" t="s">
        <v>26</v>
      </c>
      <c r="C3">
        <v>10</v>
      </c>
      <c r="D3">
        <v>2</v>
      </c>
      <c r="E3">
        <v>200000</v>
      </c>
      <c r="F3" t="s">
        <v>12</v>
      </c>
      <c r="G3" t="s">
        <v>27</v>
      </c>
    </row>
    <row r="4" spans="1:7" x14ac:dyDescent="0.25">
      <c r="A4" s="2">
        <v>45658</v>
      </c>
      <c r="B4" t="s">
        <v>26</v>
      </c>
      <c r="C4">
        <v>8</v>
      </c>
      <c r="D4">
        <v>7</v>
      </c>
      <c r="E4">
        <v>80000</v>
      </c>
      <c r="F4" t="s">
        <v>12</v>
      </c>
      <c r="G4" t="s">
        <v>27</v>
      </c>
    </row>
    <row r="5" spans="1:7" x14ac:dyDescent="0.25">
      <c r="A5" s="2">
        <v>45658</v>
      </c>
      <c r="B5" t="s">
        <v>26</v>
      </c>
      <c r="C5">
        <v>10</v>
      </c>
      <c r="D5">
        <v>5</v>
      </c>
      <c r="E5">
        <v>150000</v>
      </c>
    </row>
    <row r="6" spans="1:7" x14ac:dyDescent="0.25">
      <c r="A6" s="2">
        <v>45658</v>
      </c>
      <c r="B6" t="s">
        <v>26</v>
      </c>
      <c r="C6">
        <v>10</v>
      </c>
      <c r="D6">
        <v>4</v>
      </c>
      <c r="E6">
        <v>50000</v>
      </c>
    </row>
    <row r="7" spans="1:7" x14ac:dyDescent="0.25">
      <c r="A7" s="2">
        <v>45658</v>
      </c>
      <c r="B7" t="s">
        <v>26</v>
      </c>
      <c r="C7">
        <v>10</v>
      </c>
      <c r="D7">
        <v>3</v>
      </c>
      <c r="E7">
        <v>20000</v>
      </c>
    </row>
    <row r="8" spans="1:7" x14ac:dyDescent="0.25">
      <c r="A8" s="2" t="s">
        <v>79</v>
      </c>
    </row>
    <row r="9" spans="1:7" x14ac:dyDescent="0.25">
      <c r="A9" s="2">
        <v>45839</v>
      </c>
      <c r="B9" t="s">
        <v>78</v>
      </c>
      <c r="C9">
        <v>9</v>
      </c>
      <c r="D9">
        <v>5</v>
      </c>
      <c r="E9">
        <v>7258</v>
      </c>
      <c r="F9" t="s">
        <v>28</v>
      </c>
      <c r="G9" t="s">
        <v>30</v>
      </c>
    </row>
    <row r="10" spans="1:7" x14ac:dyDescent="0.25">
      <c r="A10" s="2">
        <v>46204</v>
      </c>
      <c r="B10" t="s">
        <v>78</v>
      </c>
      <c r="C10">
        <v>9</v>
      </c>
      <c r="D10">
        <v>5</v>
      </c>
      <c r="E10">
        <v>7258</v>
      </c>
      <c r="F10" t="s">
        <v>28</v>
      </c>
      <c r="G10" t="s">
        <v>30</v>
      </c>
    </row>
    <row r="11" spans="1:7" x14ac:dyDescent="0.25">
      <c r="A11" s="2">
        <v>46569</v>
      </c>
      <c r="B11" t="s">
        <v>78</v>
      </c>
      <c r="C11">
        <v>9</v>
      </c>
      <c r="D11">
        <v>5</v>
      </c>
      <c r="E11">
        <v>7258</v>
      </c>
      <c r="F11" t="s">
        <v>28</v>
      </c>
      <c r="G11" t="s">
        <v>30</v>
      </c>
    </row>
    <row r="12" spans="1:7" x14ac:dyDescent="0.25">
      <c r="A12" s="2">
        <v>46935</v>
      </c>
      <c r="B12" t="s">
        <v>78</v>
      </c>
      <c r="C12">
        <v>9</v>
      </c>
      <c r="D12">
        <v>5</v>
      </c>
      <c r="E12">
        <v>7258</v>
      </c>
      <c r="F12" t="s">
        <v>28</v>
      </c>
      <c r="G12" t="s">
        <v>30</v>
      </c>
    </row>
    <row r="13" spans="1:7" x14ac:dyDescent="0.25">
      <c r="A13" s="2">
        <v>47300</v>
      </c>
      <c r="B13" t="s">
        <v>78</v>
      </c>
      <c r="C13">
        <v>9</v>
      </c>
      <c r="D13">
        <v>5</v>
      </c>
      <c r="E13">
        <v>7258</v>
      </c>
      <c r="F13" t="s">
        <v>28</v>
      </c>
      <c r="G13" t="s">
        <v>30</v>
      </c>
    </row>
    <row r="14" spans="1:7" x14ac:dyDescent="0.25">
      <c r="A14" s="2">
        <v>47665</v>
      </c>
      <c r="B14" t="s">
        <v>78</v>
      </c>
      <c r="C14">
        <v>9</v>
      </c>
      <c r="D14">
        <v>5</v>
      </c>
      <c r="E14">
        <v>7258</v>
      </c>
      <c r="F14" t="s">
        <v>28</v>
      </c>
      <c r="G14" t="s">
        <v>30</v>
      </c>
    </row>
    <row r="15" spans="1:7" x14ac:dyDescent="0.25">
      <c r="A15" s="2">
        <v>48030</v>
      </c>
      <c r="B15" t="s">
        <v>78</v>
      </c>
      <c r="C15">
        <v>9</v>
      </c>
      <c r="D15">
        <v>5</v>
      </c>
      <c r="E15">
        <v>7258</v>
      </c>
      <c r="F15" t="s">
        <v>28</v>
      </c>
      <c r="G15" t="s">
        <v>30</v>
      </c>
    </row>
    <row r="16" spans="1:7" x14ac:dyDescent="0.25">
      <c r="A16" s="2">
        <v>48396</v>
      </c>
      <c r="B16" t="s">
        <v>78</v>
      </c>
      <c r="C16">
        <v>9</v>
      </c>
      <c r="D16">
        <v>5</v>
      </c>
      <c r="E16">
        <v>7258</v>
      </c>
      <c r="F16" t="s">
        <v>28</v>
      </c>
      <c r="G16" t="s">
        <v>30</v>
      </c>
    </row>
    <row r="17" spans="1:7" x14ac:dyDescent="0.25">
      <c r="A17" s="2" t="s">
        <v>80</v>
      </c>
    </row>
    <row r="18" spans="1:7" x14ac:dyDescent="0.25">
      <c r="A18" s="2">
        <v>45839</v>
      </c>
      <c r="B18" t="s">
        <v>78</v>
      </c>
      <c r="C18">
        <v>10</v>
      </c>
      <c r="D18">
        <v>6</v>
      </c>
      <c r="E18">
        <v>7258</v>
      </c>
      <c r="F18" t="s">
        <v>28</v>
      </c>
      <c r="G18" t="s">
        <v>30</v>
      </c>
    </row>
    <row r="19" spans="1:7" x14ac:dyDescent="0.25">
      <c r="A19" s="2">
        <v>46204</v>
      </c>
      <c r="B19" t="s">
        <v>78</v>
      </c>
      <c r="C19">
        <v>10</v>
      </c>
      <c r="D19">
        <v>6</v>
      </c>
      <c r="E19">
        <v>7258</v>
      </c>
      <c r="F19" t="s">
        <v>28</v>
      </c>
      <c r="G19" t="s">
        <v>30</v>
      </c>
    </row>
    <row r="20" spans="1:7" x14ac:dyDescent="0.25">
      <c r="A20" s="2">
        <v>46569</v>
      </c>
      <c r="B20" t="s">
        <v>78</v>
      </c>
      <c r="C20">
        <v>10</v>
      </c>
      <c r="D20">
        <v>6</v>
      </c>
      <c r="E20">
        <v>7258</v>
      </c>
      <c r="F20" t="s">
        <v>28</v>
      </c>
      <c r="G20" t="s">
        <v>30</v>
      </c>
    </row>
    <row r="21" spans="1:7" x14ac:dyDescent="0.25">
      <c r="A21" s="2">
        <v>46935</v>
      </c>
      <c r="B21" t="s">
        <v>78</v>
      </c>
      <c r="C21">
        <v>10</v>
      </c>
      <c r="D21">
        <v>6</v>
      </c>
      <c r="E21">
        <v>7258</v>
      </c>
      <c r="F21" t="s">
        <v>28</v>
      </c>
      <c r="G21" t="s">
        <v>30</v>
      </c>
    </row>
    <row r="22" spans="1:7" x14ac:dyDescent="0.25">
      <c r="A22" s="2">
        <v>47300</v>
      </c>
      <c r="B22" t="s">
        <v>78</v>
      </c>
      <c r="C22">
        <v>10</v>
      </c>
      <c r="D22">
        <v>6</v>
      </c>
      <c r="E22">
        <v>7258</v>
      </c>
      <c r="F22" t="s">
        <v>28</v>
      </c>
      <c r="G22" t="s">
        <v>30</v>
      </c>
    </row>
    <row r="23" spans="1:7" x14ac:dyDescent="0.25">
      <c r="A23" s="2">
        <v>47665</v>
      </c>
      <c r="B23" t="s">
        <v>78</v>
      </c>
      <c r="C23">
        <v>10</v>
      </c>
      <c r="D23">
        <v>6</v>
      </c>
      <c r="E23">
        <v>7258</v>
      </c>
      <c r="F23" t="s">
        <v>28</v>
      </c>
      <c r="G23" t="s">
        <v>30</v>
      </c>
    </row>
    <row r="24" spans="1:7" x14ac:dyDescent="0.25">
      <c r="A24" s="2">
        <v>48030</v>
      </c>
      <c r="B24" t="s">
        <v>78</v>
      </c>
      <c r="C24">
        <v>10</v>
      </c>
      <c r="D24">
        <v>6</v>
      </c>
      <c r="E24">
        <v>7258</v>
      </c>
      <c r="F24" t="s">
        <v>28</v>
      </c>
      <c r="G24" t="s">
        <v>30</v>
      </c>
    </row>
    <row r="25" spans="1:7" x14ac:dyDescent="0.25">
      <c r="A25" s="2">
        <v>48396</v>
      </c>
      <c r="B25" t="s">
        <v>78</v>
      </c>
      <c r="C25">
        <v>10</v>
      </c>
      <c r="D25">
        <v>6</v>
      </c>
      <c r="E25">
        <v>7258</v>
      </c>
      <c r="F25" t="s">
        <v>28</v>
      </c>
      <c r="G25" t="s">
        <v>30</v>
      </c>
    </row>
    <row r="26" spans="1:7" x14ac:dyDescent="0.25">
      <c r="A26" s="2" t="s">
        <v>81</v>
      </c>
    </row>
    <row r="27" spans="1:7" x14ac:dyDescent="0.25">
      <c r="A27" s="2">
        <v>45839</v>
      </c>
      <c r="B27" t="s">
        <v>82</v>
      </c>
      <c r="C27">
        <v>9</v>
      </c>
      <c r="D27">
        <v>7</v>
      </c>
      <c r="E27">
        <v>50000</v>
      </c>
      <c r="F27" t="s">
        <v>28</v>
      </c>
      <c r="G27" t="s">
        <v>30</v>
      </c>
    </row>
    <row r="28" spans="1:7" x14ac:dyDescent="0.25">
      <c r="A28" s="2">
        <v>46204</v>
      </c>
      <c r="B28" t="s">
        <v>82</v>
      </c>
      <c r="C28">
        <v>9</v>
      </c>
      <c r="D28">
        <v>7</v>
      </c>
      <c r="E28">
        <v>50000</v>
      </c>
      <c r="F28" t="s">
        <v>28</v>
      </c>
      <c r="G28" t="s">
        <v>30</v>
      </c>
    </row>
    <row r="29" spans="1:7" x14ac:dyDescent="0.25">
      <c r="A29" s="2">
        <v>46569</v>
      </c>
      <c r="B29" t="s">
        <v>82</v>
      </c>
      <c r="C29">
        <v>9</v>
      </c>
      <c r="D29">
        <v>7</v>
      </c>
      <c r="E29">
        <v>50000</v>
      </c>
      <c r="F29" t="s">
        <v>28</v>
      </c>
      <c r="G29" t="s">
        <v>30</v>
      </c>
    </row>
    <row r="30" spans="1:7" x14ac:dyDescent="0.25">
      <c r="A30" s="2">
        <v>46935</v>
      </c>
      <c r="B30" t="s">
        <v>82</v>
      </c>
      <c r="C30">
        <v>9</v>
      </c>
      <c r="D30">
        <v>7</v>
      </c>
      <c r="E30">
        <v>50000</v>
      </c>
      <c r="F30" t="s">
        <v>28</v>
      </c>
      <c r="G30" t="s">
        <v>30</v>
      </c>
    </row>
    <row r="31" spans="1:7" x14ac:dyDescent="0.25">
      <c r="A31" s="2">
        <v>47300</v>
      </c>
      <c r="B31" t="s">
        <v>82</v>
      </c>
      <c r="C31">
        <v>9</v>
      </c>
      <c r="D31">
        <v>7</v>
      </c>
      <c r="E31">
        <v>50000</v>
      </c>
      <c r="F31" t="s">
        <v>28</v>
      </c>
      <c r="G31" t="s">
        <v>30</v>
      </c>
    </row>
    <row r="32" spans="1:7" x14ac:dyDescent="0.25">
      <c r="A32" s="2">
        <v>47665</v>
      </c>
      <c r="B32" t="s">
        <v>82</v>
      </c>
      <c r="C32">
        <v>9</v>
      </c>
      <c r="D32">
        <v>7</v>
      </c>
      <c r="E32">
        <v>50000</v>
      </c>
      <c r="F32" t="s">
        <v>28</v>
      </c>
      <c r="G32" t="s">
        <v>30</v>
      </c>
    </row>
    <row r="33" spans="1:7" x14ac:dyDescent="0.25">
      <c r="A33" s="2">
        <v>48030</v>
      </c>
      <c r="B33" t="s">
        <v>82</v>
      </c>
      <c r="C33">
        <v>9</v>
      </c>
      <c r="D33">
        <v>7</v>
      </c>
      <c r="E33">
        <v>50000</v>
      </c>
      <c r="F33" t="s">
        <v>28</v>
      </c>
      <c r="G33" t="s">
        <v>30</v>
      </c>
    </row>
    <row r="34" spans="1:7" x14ac:dyDescent="0.25">
      <c r="A34" s="2">
        <v>48396</v>
      </c>
      <c r="B34" t="s">
        <v>82</v>
      </c>
      <c r="C34">
        <v>9</v>
      </c>
      <c r="D34">
        <v>7</v>
      </c>
      <c r="E34">
        <v>50000</v>
      </c>
      <c r="F34" t="s">
        <v>28</v>
      </c>
      <c r="G34" t="s">
        <v>30</v>
      </c>
    </row>
    <row r="35" spans="1:7" x14ac:dyDescent="0.25">
      <c r="A35" s="2" t="s">
        <v>76</v>
      </c>
    </row>
    <row r="36" spans="1:7" x14ac:dyDescent="0.25">
      <c r="A36" s="2">
        <v>45658</v>
      </c>
      <c r="B36" t="s">
        <v>29</v>
      </c>
      <c r="C36">
        <v>17</v>
      </c>
      <c r="D36">
        <v>9</v>
      </c>
      <c r="E36">
        <v>90000</v>
      </c>
      <c r="F36" t="s">
        <v>28</v>
      </c>
      <c r="G36" t="s">
        <v>27</v>
      </c>
    </row>
    <row r="37" spans="1:7" x14ac:dyDescent="0.25">
      <c r="A37" s="2">
        <v>45839</v>
      </c>
      <c r="B37" t="s">
        <v>29</v>
      </c>
      <c r="C37">
        <v>17</v>
      </c>
      <c r="D37">
        <v>9</v>
      </c>
      <c r="E37">
        <v>90000</v>
      </c>
      <c r="F37" t="s">
        <v>28</v>
      </c>
      <c r="G37" t="s">
        <v>27</v>
      </c>
    </row>
    <row r="38" spans="1:7" x14ac:dyDescent="0.25">
      <c r="A38" s="2">
        <v>46023</v>
      </c>
      <c r="B38" t="s">
        <v>29</v>
      </c>
      <c r="C38">
        <v>17</v>
      </c>
      <c r="D38">
        <v>9</v>
      </c>
      <c r="E38">
        <v>90000</v>
      </c>
      <c r="F38" t="s">
        <v>28</v>
      </c>
      <c r="G38" t="s">
        <v>27</v>
      </c>
    </row>
    <row r="39" spans="1:7" x14ac:dyDescent="0.25">
      <c r="A39" s="2">
        <v>46204</v>
      </c>
      <c r="B39" t="s">
        <v>29</v>
      </c>
      <c r="C39">
        <v>17</v>
      </c>
      <c r="D39">
        <v>9</v>
      </c>
      <c r="E39">
        <v>90000</v>
      </c>
      <c r="F39" t="s">
        <v>28</v>
      </c>
      <c r="G39" t="s">
        <v>27</v>
      </c>
    </row>
    <row r="40" spans="1:7" x14ac:dyDescent="0.25">
      <c r="A40" s="2">
        <v>46388</v>
      </c>
      <c r="B40" t="s">
        <v>29</v>
      </c>
      <c r="C40">
        <v>17</v>
      </c>
      <c r="D40">
        <v>9</v>
      </c>
      <c r="E40">
        <v>90000</v>
      </c>
      <c r="F40" t="s">
        <v>28</v>
      </c>
      <c r="G40" t="s">
        <v>27</v>
      </c>
    </row>
    <row r="41" spans="1:7" x14ac:dyDescent="0.25">
      <c r="A41" s="2">
        <v>46569</v>
      </c>
      <c r="B41" t="s">
        <v>29</v>
      </c>
      <c r="C41">
        <v>17</v>
      </c>
      <c r="D41">
        <v>9</v>
      </c>
      <c r="E41">
        <v>90000</v>
      </c>
      <c r="F41" t="s">
        <v>28</v>
      </c>
      <c r="G41" t="s">
        <v>27</v>
      </c>
    </row>
    <row r="42" spans="1:7" x14ac:dyDescent="0.25">
      <c r="A42" s="2">
        <v>46753</v>
      </c>
      <c r="B42" t="s">
        <v>29</v>
      </c>
      <c r="C42">
        <v>17</v>
      </c>
      <c r="D42">
        <v>9</v>
      </c>
      <c r="E42">
        <v>90000</v>
      </c>
      <c r="F42" t="s">
        <v>28</v>
      </c>
      <c r="G42" t="s">
        <v>27</v>
      </c>
    </row>
    <row r="43" spans="1:7" x14ac:dyDescent="0.25">
      <c r="A43" s="2">
        <v>46935</v>
      </c>
      <c r="B43" t="s">
        <v>29</v>
      </c>
      <c r="C43">
        <v>17</v>
      </c>
      <c r="D43">
        <v>9</v>
      </c>
      <c r="E43">
        <v>90000</v>
      </c>
      <c r="F43" t="s">
        <v>28</v>
      </c>
      <c r="G43" t="s">
        <v>27</v>
      </c>
    </row>
    <row r="44" spans="1:7" x14ac:dyDescent="0.25">
      <c r="A44" s="2">
        <v>47119</v>
      </c>
      <c r="B44" t="s">
        <v>29</v>
      </c>
      <c r="C44">
        <v>17</v>
      </c>
      <c r="D44">
        <v>9</v>
      </c>
      <c r="E44">
        <v>90000</v>
      </c>
      <c r="F44" t="s">
        <v>28</v>
      </c>
      <c r="G44" t="s">
        <v>27</v>
      </c>
    </row>
    <row r="45" spans="1:7" x14ac:dyDescent="0.25">
      <c r="A45" s="2">
        <v>47300</v>
      </c>
      <c r="B45" t="s">
        <v>29</v>
      </c>
      <c r="C45">
        <v>17</v>
      </c>
      <c r="D45">
        <v>9</v>
      </c>
      <c r="E45">
        <v>90000</v>
      </c>
      <c r="F45" t="s">
        <v>28</v>
      </c>
      <c r="G45" t="s">
        <v>27</v>
      </c>
    </row>
    <row r="46" spans="1:7" x14ac:dyDescent="0.25">
      <c r="A46" s="2">
        <v>47484</v>
      </c>
      <c r="B46" t="s">
        <v>29</v>
      </c>
      <c r="C46">
        <v>17</v>
      </c>
      <c r="D46">
        <v>9</v>
      </c>
      <c r="E46">
        <v>90000</v>
      </c>
      <c r="F46" t="s">
        <v>28</v>
      </c>
      <c r="G46" t="s">
        <v>27</v>
      </c>
    </row>
    <row r="47" spans="1:7" x14ac:dyDescent="0.25">
      <c r="A47" s="2">
        <v>47665</v>
      </c>
      <c r="B47" t="s">
        <v>29</v>
      </c>
      <c r="C47">
        <v>17</v>
      </c>
      <c r="D47">
        <v>9</v>
      </c>
      <c r="E47">
        <v>90000</v>
      </c>
      <c r="F47" t="s">
        <v>28</v>
      </c>
      <c r="G47" t="s">
        <v>27</v>
      </c>
    </row>
    <row r="48" spans="1:7" x14ac:dyDescent="0.25">
      <c r="A48" s="2">
        <v>47849</v>
      </c>
      <c r="B48" t="s">
        <v>29</v>
      </c>
      <c r="C48">
        <v>17</v>
      </c>
      <c r="D48">
        <v>9</v>
      </c>
      <c r="E48">
        <v>90000</v>
      </c>
      <c r="F48" t="s">
        <v>28</v>
      </c>
      <c r="G48" t="s">
        <v>27</v>
      </c>
    </row>
    <row r="49" spans="1:7" x14ac:dyDescent="0.25">
      <c r="A49" s="2">
        <v>48030</v>
      </c>
      <c r="B49" t="s">
        <v>29</v>
      </c>
      <c r="C49">
        <v>17</v>
      </c>
      <c r="D49">
        <v>9</v>
      </c>
      <c r="E49">
        <v>90000</v>
      </c>
      <c r="F49" t="s">
        <v>28</v>
      </c>
      <c r="G49" t="s">
        <v>27</v>
      </c>
    </row>
    <row r="50" spans="1:7" x14ac:dyDescent="0.25">
      <c r="A50" s="2">
        <v>48214</v>
      </c>
      <c r="B50" t="s">
        <v>29</v>
      </c>
      <c r="C50">
        <v>17</v>
      </c>
      <c r="D50">
        <v>9</v>
      </c>
      <c r="E50">
        <v>90000</v>
      </c>
      <c r="F50" t="s">
        <v>28</v>
      </c>
      <c r="G50" t="s">
        <v>27</v>
      </c>
    </row>
    <row r="51" spans="1:7" x14ac:dyDescent="0.25">
      <c r="A51" s="2">
        <v>48396</v>
      </c>
      <c r="B51" t="s">
        <v>29</v>
      </c>
      <c r="C51">
        <v>17</v>
      </c>
      <c r="D51">
        <v>9</v>
      </c>
      <c r="E51">
        <v>90000</v>
      </c>
      <c r="F51" t="s">
        <v>28</v>
      </c>
      <c r="G51" t="s">
        <v>27</v>
      </c>
    </row>
    <row r="52" spans="1:7" x14ac:dyDescent="0.25">
      <c r="A52" s="2" t="s">
        <v>77</v>
      </c>
    </row>
    <row r="53" spans="1:7" x14ac:dyDescent="0.25">
      <c r="A53" s="2">
        <v>45658</v>
      </c>
      <c r="B53" t="s">
        <v>29</v>
      </c>
      <c r="C53">
        <v>17</v>
      </c>
      <c r="D53">
        <v>10</v>
      </c>
      <c r="E53">
        <v>15000</v>
      </c>
      <c r="F53" t="s">
        <v>28</v>
      </c>
      <c r="G53" t="s">
        <v>27</v>
      </c>
    </row>
    <row r="54" spans="1:7" x14ac:dyDescent="0.25">
      <c r="A54" s="2">
        <v>45839</v>
      </c>
      <c r="B54" t="s">
        <v>29</v>
      </c>
      <c r="C54">
        <v>17</v>
      </c>
      <c r="D54">
        <v>10</v>
      </c>
      <c r="E54">
        <v>15000</v>
      </c>
      <c r="F54" t="s">
        <v>28</v>
      </c>
      <c r="G54" t="s">
        <v>27</v>
      </c>
    </row>
    <row r="55" spans="1:7" x14ac:dyDescent="0.25">
      <c r="A55" s="2">
        <v>46023</v>
      </c>
      <c r="B55" t="s">
        <v>29</v>
      </c>
      <c r="C55">
        <v>17</v>
      </c>
      <c r="D55">
        <v>10</v>
      </c>
      <c r="E55">
        <v>15000</v>
      </c>
      <c r="F55" t="s">
        <v>28</v>
      </c>
      <c r="G55" t="s">
        <v>27</v>
      </c>
    </row>
    <row r="56" spans="1:7" x14ac:dyDescent="0.25">
      <c r="A56" s="2">
        <v>46204</v>
      </c>
      <c r="B56" t="s">
        <v>29</v>
      </c>
      <c r="C56">
        <v>17</v>
      </c>
      <c r="D56">
        <v>10</v>
      </c>
      <c r="E56">
        <v>15000</v>
      </c>
      <c r="F56" t="s">
        <v>28</v>
      </c>
      <c r="G56" t="s">
        <v>27</v>
      </c>
    </row>
    <row r="57" spans="1:7" x14ac:dyDescent="0.25">
      <c r="A57" s="2">
        <v>46388</v>
      </c>
      <c r="B57" t="s">
        <v>29</v>
      </c>
      <c r="C57">
        <v>17</v>
      </c>
      <c r="D57">
        <v>10</v>
      </c>
      <c r="E57">
        <v>15000</v>
      </c>
      <c r="F57" t="s">
        <v>28</v>
      </c>
      <c r="G57" t="s">
        <v>27</v>
      </c>
    </row>
    <row r="58" spans="1:7" x14ac:dyDescent="0.25">
      <c r="A58" s="2">
        <v>46569</v>
      </c>
      <c r="B58" t="s">
        <v>29</v>
      </c>
      <c r="C58">
        <v>17</v>
      </c>
      <c r="D58">
        <v>10</v>
      </c>
      <c r="E58">
        <v>15000</v>
      </c>
      <c r="F58" t="s">
        <v>28</v>
      </c>
      <c r="G58" t="s">
        <v>27</v>
      </c>
    </row>
    <row r="59" spans="1:7" x14ac:dyDescent="0.25">
      <c r="A59" s="2">
        <v>46753</v>
      </c>
      <c r="B59" t="s">
        <v>29</v>
      </c>
      <c r="C59">
        <v>17</v>
      </c>
      <c r="D59">
        <v>10</v>
      </c>
      <c r="E59">
        <v>15000</v>
      </c>
      <c r="F59" t="s">
        <v>28</v>
      </c>
      <c r="G59" t="s">
        <v>27</v>
      </c>
    </row>
    <row r="60" spans="1:7" x14ac:dyDescent="0.25">
      <c r="A60" s="2">
        <v>46935</v>
      </c>
      <c r="B60" t="s">
        <v>29</v>
      </c>
      <c r="C60">
        <v>17</v>
      </c>
      <c r="D60">
        <v>10</v>
      </c>
      <c r="E60">
        <v>15000</v>
      </c>
      <c r="F60" t="s">
        <v>28</v>
      </c>
      <c r="G60" t="s">
        <v>27</v>
      </c>
    </row>
    <row r="61" spans="1:7" x14ac:dyDescent="0.25">
      <c r="A61" s="2">
        <v>47119</v>
      </c>
      <c r="B61" t="s">
        <v>29</v>
      </c>
      <c r="C61">
        <v>17</v>
      </c>
      <c r="D61">
        <v>10</v>
      </c>
      <c r="E61">
        <v>15000</v>
      </c>
      <c r="F61" t="s">
        <v>28</v>
      </c>
      <c r="G61" t="s">
        <v>27</v>
      </c>
    </row>
    <row r="62" spans="1:7" x14ac:dyDescent="0.25">
      <c r="A62" s="2">
        <v>47300</v>
      </c>
      <c r="B62" t="s">
        <v>29</v>
      </c>
      <c r="C62">
        <v>17</v>
      </c>
      <c r="D62">
        <v>10</v>
      </c>
      <c r="E62">
        <v>15000</v>
      </c>
      <c r="F62" t="s">
        <v>28</v>
      </c>
      <c r="G62" t="s">
        <v>27</v>
      </c>
    </row>
    <row r="63" spans="1:7" x14ac:dyDescent="0.25">
      <c r="A63" s="2">
        <v>47484</v>
      </c>
      <c r="B63" t="s">
        <v>29</v>
      </c>
      <c r="C63">
        <v>17</v>
      </c>
      <c r="D63">
        <v>10</v>
      </c>
      <c r="E63">
        <v>15000</v>
      </c>
      <c r="F63" t="s">
        <v>28</v>
      </c>
      <c r="G63" t="s">
        <v>27</v>
      </c>
    </row>
    <row r="64" spans="1:7" x14ac:dyDescent="0.25">
      <c r="A64" s="2">
        <v>47665</v>
      </c>
      <c r="B64" t="s">
        <v>29</v>
      </c>
      <c r="C64">
        <v>17</v>
      </c>
      <c r="D64">
        <v>10</v>
      </c>
      <c r="E64">
        <v>15000</v>
      </c>
      <c r="F64" t="s">
        <v>28</v>
      </c>
      <c r="G64" t="s">
        <v>27</v>
      </c>
    </row>
    <row r="65" spans="1:7" x14ac:dyDescent="0.25">
      <c r="A65" s="2">
        <v>47849</v>
      </c>
      <c r="B65" t="s">
        <v>29</v>
      </c>
      <c r="C65">
        <v>17</v>
      </c>
      <c r="D65">
        <v>10</v>
      </c>
      <c r="E65">
        <v>15000</v>
      </c>
      <c r="F65" t="s">
        <v>28</v>
      </c>
      <c r="G65" t="s">
        <v>27</v>
      </c>
    </row>
    <row r="66" spans="1:7" x14ac:dyDescent="0.25">
      <c r="A66" s="2">
        <v>48030</v>
      </c>
      <c r="B66" t="s">
        <v>29</v>
      </c>
      <c r="C66">
        <v>17</v>
      </c>
      <c r="D66">
        <v>10</v>
      </c>
      <c r="E66">
        <v>15000</v>
      </c>
      <c r="F66" t="s">
        <v>28</v>
      </c>
      <c r="G66" t="s">
        <v>27</v>
      </c>
    </row>
    <row r="67" spans="1:7" x14ac:dyDescent="0.25">
      <c r="A67" s="2">
        <v>48214</v>
      </c>
      <c r="B67" t="s">
        <v>29</v>
      </c>
      <c r="C67">
        <v>17</v>
      </c>
      <c r="D67">
        <v>10</v>
      </c>
      <c r="E67">
        <v>15000</v>
      </c>
      <c r="F67" t="s">
        <v>28</v>
      </c>
      <c r="G67" t="s">
        <v>27</v>
      </c>
    </row>
    <row r="68" spans="1:7" x14ac:dyDescent="0.25">
      <c r="A68" s="2">
        <v>48396</v>
      </c>
      <c r="B68" t="s">
        <v>29</v>
      </c>
      <c r="C68">
        <v>17</v>
      </c>
      <c r="D68">
        <v>10</v>
      </c>
      <c r="E68">
        <v>15000</v>
      </c>
      <c r="F68" t="s">
        <v>28</v>
      </c>
      <c r="G68" t="s">
        <v>27</v>
      </c>
    </row>
    <row r="69" spans="1:7" x14ac:dyDescent="0.25">
      <c r="A69" s="2" t="s">
        <v>56</v>
      </c>
    </row>
    <row r="70" spans="1:7" x14ac:dyDescent="0.25">
      <c r="A70" s="2">
        <v>46022</v>
      </c>
      <c r="B70" t="s">
        <v>43</v>
      </c>
      <c r="C70">
        <v>11</v>
      </c>
      <c r="D70">
        <v>21</v>
      </c>
      <c r="E70">
        <v>85000</v>
      </c>
      <c r="F70" t="s">
        <v>12</v>
      </c>
      <c r="G70" t="s">
        <v>30</v>
      </c>
    </row>
    <row r="71" spans="1:7" x14ac:dyDescent="0.25">
      <c r="A71" s="2">
        <v>46387</v>
      </c>
      <c r="B71" t="s">
        <v>43</v>
      </c>
      <c r="C71">
        <v>11</v>
      </c>
      <c r="D71">
        <v>21</v>
      </c>
      <c r="E71">
        <v>85000</v>
      </c>
      <c r="F71" t="s">
        <v>12</v>
      </c>
      <c r="G71" t="s">
        <v>30</v>
      </c>
    </row>
    <row r="72" spans="1:7" x14ac:dyDescent="0.25">
      <c r="A72" s="2">
        <v>46752</v>
      </c>
      <c r="B72" t="s">
        <v>43</v>
      </c>
      <c r="C72">
        <v>11</v>
      </c>
      <c r="D72">
        <v>21</v>
      </c>
      <c r="E72">
        <v>85000</v>
      </c>
      <c r="F72" t="s">
        <v>12</v>
      </c>
      <c r="G72" t="s">
        <v>30</v>
      </c>
    </row>
    <row r="73" spans="1:7" x14ac:dyDescent="0.25">
      <c r="A73" s="2">
        <v>47118</v>
      </c>
      <c r="B73" t="s">
        <v>43</v>
      </c>
      <c r="C73">
        <v>11</v>
      </c>
      <c r="D73">
        <v>21</v>
      </c>
      <c r="E73">
        <v>85000</v>
      </c>
      <c r="F73" t="s">
        <v>12</v>
      </c>
      <c r="G73" t="s">
        <v>30</v>
      </c>
    </row>
    <row r="74" spans="1:7" x14ac:dyDescent="0.25">
      <c r="A74" s="2">
        <v>47483</v>
      </c>
      <c r="B74" t="s">
        <v>43</v>
      </c>
      <c r="C74">
        <v>11</v>
      </c>
      <c r="D74">
        <v>21</v>
      </c>
      <c r="E74">
        <v>85000</v>
      </c>
      <c r="F74" t="s">
        <v>12</v>
      </c>
      <c r="G74" t="s">
        <v>30</v>
      </c>
    </row>
    <row r="75" spans="1:7" x14ac:dyDescent="0.25">
      <c r="A75" s="2">
        <v>47848</v>
      </c>
      <c r="B75" t="s">
        <v>43</v>
      </c>
      <c r="C75">
        <v>11</v>
      </c>
      <c r="D75">
        <v>21</v>
      </c>
      <c r="E75">
        <v>85000</v>
      </c>
      <c r="F75" t="s">
        <v>12</v>
      </c>
      <c r="G75" t="s">
        <v>30</v>
      </c>
    </row>
    <row r="76" spans="1:7" x14ac:dyDescent="0.25">
      <c r="A76" s="2">
        <v>48213</v>
      </c>
      <c r="B76" t="s">
        <v>43</v>
      </c>
      <c r="C76">
        <v>11</v>
      </c>
      <c r="D76">
        <v>21</v>
      </c>
      <c r="E76">
        <v>85000</v>
      </c>
      <c r="F76" t="s">
        <v>12</v>
      </c>
      <c r="G76" t="s">
        <v>30</v>
      </c>
    </row>
    <row r="77" spans="1:7" x14ac:dyDescent="0.25">
      <c r="A77" s="2">
        <v>48579</v>
      </c>
      <c r="B77" t="s">
        <v>43</v>
      </c>
      <c r="C77">
        <v>11</v>
      </c>
      <c r="D77">
        <v>21</v>
      </c>
      <c r="E77">
        <v>85000</v>
      </c>
      <c r="F77" t="s">
        <v>12</v>
      </c>
      <c r="G77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F9D1-6955-4D48-853A-4775D5AE5B10}">
  <dimension ref="A1:G3"/>
  <sheetViews>
    <sheetView tabSelected="1" workbookViewId="0">
      <selection activeCell="E9" sqref="E9"/>
    </sheetView>
  </sheetViews>
  <sheetFormatPr defaultRowHeight="15" x14ac:dyDescent="0.25"/>
  <cols>
    <col min="1" max="1" width="10.140625" bestFit="1" customWidth="1"/>
    <col min="2" max="2" width="13.140625" bestFit="1" customWidth="1"/>
    <col min="5" max="5" width="19.42578125" style="3" bestFit="1" customWidth="1"/>
    <col min="6" max="6" width="12.42578125" bestFit="1" customWidth="1"/>
    <col min="7" max="7" width="11" bestFit="1" customWidth="1"/>
  </cols>
  <sheetData>
    <row r="1" spans="1:7" x14ac:dyDescent="0.25">
      <c r="A1" s="6" t="s">
        <v>21</v>
      </c>
      <c r="B1" s="6" t="s">
        <v>1</v>
      </c>
      <c r="C1" s="6" t="s">
        <v>22</v>
      </c>
      <c r="D1" s="6" t="s">
        <v>23</v>
      </c>
      <c r="E1" s="6" t="s">
        <v>32</v>
      </c>
      <c r="F1" s="6" t="s">
        <v>24</v>
      </c>
      <c r="G1" s="6" t="s">
        <v>45</v>
      </c>
    </row>
    <row r="2" spans="1:7" x14ac:dyDescent="0.25">
      <c r="A2" s="2">
        <v>48579</v>
      </c>
      <c r="B2" t="s">
        <v>31</v>
      </c>
      <c r="C2">
        <v>4</v>
      </c>
      <c r="D2">
        <v>2</v>
      </c>
      <c r="E2" s="3">
        <v>1</v>
      </c>
      <c r="F2" t="s">
        <v>31</v>
      </c>
      <c r="G2" t="s">
        <v>27</v>
      </c>
    </row>
    <row r="3" spans="1:7" x14ac:dyDescent="0.25">
      <c r="A3" s="2">
        <v>48579</v>
      </c>
      <c r="B3" t="s">
        <v>31</v>
      </c>
      <c r="C3">
        <v>3</v>
      </c>
      <c r="D3">
        <v>2</v>
      </c>
      <c r="E3" s="3">
        <v>1</v>
      </c>
      <c r="F3" t="s">
        <v>31</v>
      </c>
      <c r="G3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F4B8-706F-4D5E-9BF8-8073B9ABD174}">
  <dimension ref="A1:G4"/>
  <sheetViews>
    <sheetView workbookViewId="0">
      <selection sqref="A1:G1"/>
    </sheetView>
  </sheetViews>
  <sheetFormatPr defaultRowHeight="15" x14ac:dyDescent="0.25"/>
  <cols>
    <col min="1" max="1" width="10.140625" bestFit="1" customWidth="1"/>
    <col min="2" max="2" width="18.85546875" bestFit="1" customWidth="1"/>
    <col min="4" max="4" width="11.85546875" bestFit="1" customWidth="1"/>
    <col min="5" max="5" width="9.140625" style="4"/>
    <col min="6" max="6" width="10.28515625" bestFit="1" customWidth="1"/>
  </cols>
  <sheetData>
    <row r="1" spans="1:7" x14ac:dyDescent="0.25">
      <c r="A1" s="6" t="s">
        <v>21</v>
      </c>
      <c r="B1" s="6" t="s">
        <v>1</v>
      </c>
      <c r="C1" s="6" t="s">
        <v>22</v>
      </c>
      <c r="D1" s="6" t="s">
        <v>23</v>
      </c>
      <c r="E1" s="6" t="s">
        <v>33</v>
      </c>
      <c r="F1" s="6" t="s">
        <v>24</v>
      </c>
      <c r="G1" s="6" t="s">
        <v>45</v>
      </c>
    </row>
    <row r="2" spans="1:7" x14ac:dyDescent="0.25">
      <c r="A2" s="2">
        <v>45292</v>
      </c>
      <c r="B2" t="s">
        <v>34</v>
      </c>
      <c r="C2">
        <v>9</v>
      </c>
      <c r="D2">
        <v>2</v>
      </c>
      <c r="E2" s="4">
        <v>0.02</v>
      </c>
      <c r="F2" t="s">
        <v>12</v>
      </c>
      <c r="G2" t="s">
        <v>27</v>
      </c>
    </row>
    <row r="3" spans="1:7" x14ac:dyDescent="0.25">
      <c r="A3" s="2">
        <v>45658</v>
      </c>
      <c r="B3" t="s">
        <v>34</v>
      </c>
      <c r="C3">
        <v>9</v>
      </c>
      <c r="D3">
        <v>2</v>
      </c>
      <c r="E3" s="4">
        <v>0.04</v>
      </c>
      <c r="F3" t="s">
        <v>12</v>
      </c>
      <c r="G3" t="s">
        <v>27</v>
      </c>
    </row>
    <row r="4" spans="1:7" x14ac:dyDescent="0.25">
      <c r="A4" s="2">
        <v>46023</v>
      </c>
      <c r="B4" t="s">
        <v>34</v>
      </c>
      <c r="C4">
        <v>9</v>
      </c>
      <c r="D4">
        <v>2</v>
      </c>
      <c r="E4" s="4">
        <v>0.01</v>
      </c>
      <c r="F4" t="s">
        <v>12</v>
      </c>
      <c r="G4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3DAD-C2A8-4BE4-AC70-C5E5AEA78C64}">
  <dimension ref="A1:G8"/>
  <sheetViews>
    <sheetView workbookViewId="0">
      <selection activeCell="C18" sqref="C18"/>
    </sheetView>
  </sheetViews>
  <sheetFormatPr defaultRowHeight="15" x14ac:dyDescent="0.25"/>
  <cols>
    <col min="1" max="2" width="10.140625" bestFit="1" customWidth="1"/>
    <col min="3" max="3" width="12.85546875" customWidth="1"/>
    <col min="4" max="4" width="24.140625" bestFit="1" customWidth="1"/>
    <col min="6" max="6" width="11.85546875" bestFit="1" customWidth="1"/>
    <col min="7" max="7" width="12.42578125" bestFit="1" customWidth="1"/>
  </cols>
  <sheetData>
    <row r="1" spans="1:7" x14ac:dyDescent="0.25">
      <c r="A1" s="6" t="s">
        <v>35</v>
      </c>
      <c r="B1" s="6" t="s">
        <v>36</v>
      </c>
      <c r="C1" s="6" t="s">
        <v>38</v>
      </c>
      <c r="D1" s="6" t="s">
        <v>1</v>
      </c>
      <c r="E1" s="6" t="s">
        <v>22</v>
      </c>
      <c r="F1" s="6" t="s">
        <v>23</v>
      </c>
      <c r="G1" s="6" t="s">
        <v>24</v>
      </c>
    </row>
    <row r="2" spans="1:7" x14ac:dyDescent="0.25">
      <c r="A2" s="2">
        <v>46023</v>
      </c>
      <c r="B2" s="2">
        <v>46387</v>
      </c>
      <c r="C2" s="2" t="s">
        <v>39</v>
      </c>
      <c r="D2" t="s">
        <v>37</v>
      </c>
      <c r="E2">
        <v>2</v>
      </c>
      <c r="F2">
        <v>6</v>
      </c>
      <c r="G2" t="s">
        <v>31</v>
      </c>
    </row>
    <row r="3" spans="1:7" x14ac:dyDescent="0.25">
      <c r="A3" s="2"/>
      <c r="B3" s="2">
        <v>45657</v>
      </c>
      <c r="C3" s="2" t="s">
        <v>41</v>
      </c>
      <c r="D3" t="s">
        <v>40</v>
      </c>
      <c r="E3">
        <v>2</v>
      </c>
      <c r="F3">
        <v>6</v>
      </c>
      <c r="G3" t="s">
        <v>12</v>
      </c>
    </row>
    <row r="4" spans="1:7" x14ac:dyDescent="0.25">
      <c r="A4" s="2"/>
      <c r="B4" s="2">
        <v>46022</v>
      </c>
      <c r="C4" s="2" t="s">
        <v>41</v>
      </c>
      <c r="D4" t="s">
        <v>40</v>
      </c>
      <c r="E4">
        <v>2</v>
      </c>
      <c r="F4">
        <v>6</v>
      </c>
      <c r="G4" t="s">
        <v>12</v>
      </c>
    </row>
    <row r="5" spans="1:7" x14ac:dyDescent="0.25">
      <c r="B5" s="2">
        <v>46387</v>
      </c>
      <c r="C5" s="2" t="s">
        <v>41</v>
      </c>
      <c r="D5" t="s">
        <v>40</v>
      </c>
      <c r="E5">
        <v>2</v>
      </c>
      <c r="F5">
        <v>6</v>
      </c>
      <c r="G5" t="s">
        <v>12</v>
      </c>
    </row>
    <row r="6" spans="1:7" x14ac:dyDescent="0.25">
      <c r="A6" s="2">
        <v>45292</v>
      </c>
      <c r="B6" s="2">
        <v>45657</v>
      </c>
      <c r="C6" s="2" t="s">
        <v>39</v>
      </c>
      <c r="D6" t="s">
        <v>42</v>
      </c>
      <c r="E6">
        <v>2</v>
      </c>
      <c r="F6">
        <v>6</v>
      </c>
      <c r="G6" t="s">
        <v>28</v>
      </c>
    </row>
    <row r="7" spans="1:7" x14ac:dyDescent="0.25">
      <c r="A7" s="2">
        <v>45658</v>
      </c>
      <c r="B7" s="2">
        <v>46022</v>
      </c>
      <c r="C7" s="2" t="s">
        <v>39</v>
      </c>
      <c r="D7" t="s">
        <v>42</v>
      </c>
      <c r="E7">
        <v>2</v>
      </c>
      <c r="F7">
        <v>6</v>
      </c>
      <c r="G7" t="s">
        <v>28</v>
      </c>
    </row>
    <row r="8" spans="1:7" x14ac:dyDescent="0.25">
      <c r="A8" s="2">
        <v>46023</v>
      </c>
      <c r="B8" s="2">
        <v>46387</v>
      </c>
      <c r="C8" s="2" t="s">
        <v>39</v>
      </c>
      <c r="D8" t="s">
        <v>42</v>
      </c>
      <c r="E8">
        <v>2</v>
      </c>
      <c r="F8">
        <v>6</v>
      </c>
      <c r="G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Person</vt:lpstr>
      <vt:lpstr>Steuergemeinde</vt:lpstr>
      <vt:lpstr>Parameter</vt:lpstr>
      <vt:lpstr>Kontoverzeichnis</vt:lpstr>
      <vt:lpstr>Fixbetrag Trx</vt:lpstr>
      <vt:lpstr>Transfer Trx</vt:lpstr>
      <vt:lpstr>Wachstum Trx</vt:lpstr>
      <vt:lpstr>Steuerereignisse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 Niggeler</dc:creator>
  <cp:lastModifiedBy>Niggeler Dieter (CH/IUT)</cp:lastModifiedBy>
  <dcterms:created xsi:type="dcterms:W3CDTF">2015-06-05T18:17:20Z</dcterms:created>
  <dcterms:modified xsi:type="dcterms:W3CDTF">2025-03-09T22:43:53Z</dcterms:modified>
</cp:coreProperties>
</file>